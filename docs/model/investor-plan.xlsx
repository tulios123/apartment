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עותק של תוכנית השקעה למשקיע" sheetId="1" r:id="rId4"/>
  </sheets>
  <definedNames/>
  <calcPr/>
  <extLst>
    <ext uri="GoogleSheetsCustomDataVersion2">
      <go:sheetsCustomData xmlns:go="http://customooxmlschemas.google.com/" r:id="rId5" roundtripDataChecksum="CaCWFsdF1XeZTpHg3CdrPWr0KbeOfMcbjU0SfiL9htI="/>
    </ext>
  </extLst>
</workbook>
</file>

<file path=xl/sharedStrings.xml><?xml version="1.0" encoding="utf-8"?>
<sst xmlns="http://schemas.openxmlformats.org/spreadsheetml/2006/main" count="131" uniqueCount="113">
  <si>
    <t>התוכנית מבוססת על הנחות עבודה נכס מידע צופה פני עתיד. התוכנית נועדה לתת מידע כללי ואין בה הבטחה להשגת תשואות אלו או רווחים אחרים כלשהם והתממשותה תלויה בגורמים רבים.</t>
  </si>
  <si>
    <t>תחזית רווחיות למשקיע</t>
  </si>
  <si>
    <t>נתוני מימון</t>
  </si>
  <si>
    <t>סעיף</t>
  </si>
  <si>
    <t>% מימון</t>
  </si>
  <si>
    <t>סכום מימון</t>
  </si>
  <si>
    <t>שנים</t>
  </si>
  <si>
    <t>% ריבית</t>
  </si>
  <si>
    <t>החזר חודשי</t>
  </si>
  <si>
    <t xml:space="preserve">החזר חודשי </t>
  </si>
  <si>
    <t>מחיר נכס</t>
  </si>
  <si>
    <t xml:space="preserve">סגור </t>
  </si>
  <si>
    <t>רגיל</t>
  </si>
  <si>
    <t xml:space="preserve">גרייס על משכנתא </t>
  </si>
  <si>
    <t xml:space="preserve">גרייס על משכנתא+הלוואה </t>
  </si>
  <si>
    <t>שיעור משכנתא</t>
  </si>
  <si>
    <t>משכנתה</t>
  </si>
  <si>
    <t>הון עצמי לטובת רכישת הנכס</t>
  </si>
  <si>
    <t xml:space="preserve">הלוואה </t>
  </si>
  <si>
    <t>הון עצמי לקוח</t>
  </si>
  <si>
    <t xml:space="preserve">ריבית חודשית </t>
  </si>
  <si>
    <t xml:space="preserve">לפני ביטוחים </t>
  </si>
  <si>
    <t>15-100₪</t>
  </si>
  <si>
    <t xml:space="preserve">מטרות עסקה: הגדה הונית בטווח זמן בינוני  </t>
  </si>
  <si>
    <t/>
  </si>
  <si>
    <t xml:space="preserve">ביצוע גרייס </t>
  </si>
  <si>
    <t xml:space="preserve">הוצאות </t>
  </si>
  <si>
    <t>לוח תשלומים, משכנתה</t>
  </si>
  <si>
    <t>לוח תשלומים, הלוואה</t>
  </si>
  <si>
    <t>הוצאות רכישת הנכס</t>
  </si>
  <si>
    <t>מס' תשלום</t>
  </si>
  <si>
    <t>תשלום חודשי</t>
  </si>
  <si>
    <t>תשלום קרן</t>
  </si>
  <si>
    <t>תשלום ריבית</t>
  </si>
  <si>
    <t>יתרת קרן</t>
  </si>
  <si>
    <t>סה"כ קרן</t>
  </si>
  <si>
    <t>סה"כ ריבית</t>
  </si>
  <si>
    <t>אחוז</t>
  </si>
  <si>
    <t>סכום כולל מע"מ</t>
  </si>
  <si>
    <t>מס רכישה</t>
  </si>
  <si>
    <t>תיווך</t>
  </si>
  <si>
    <t>עו"ד</t>
  </si>
  <si>
    <t xml:space="preserve">אגרות </t>
  </si>
  <si>
    <t xml:space="preserve">בדיקת עסקה שמאית </t>
  </si>
  <si>
    <t xml:space="preserve">כולל </t>
  </si>
  <si>
    <t>תיק בית משותף</t>
  </si>
  <si>
    <t>יעוץ משכנתא</t>
  </si>
  <si>
    <t>ליווי עסקה</t>
  </si>
  <si>
    <t>שמאות פרטית (מוקדמת)</t>
  </si>
  <si>
    <t>מעצבת</t>
  </si>
  <si>
    <t>כולל</t>
  </si>
  <si>
    <t xml:space="preserve">אדריכלית </t>
  </si>
  <si>
    <t xml:space="preserve">מלווה משקיעים </t>
  </si>
  <si>
    <t xml:space="preserve">אקסטרות </t>
  </si>
  <si>
    <t>סה"כ עלות רכישה</t>
  </si>
  <si>
    <t xml:space="preserve">השבחת נכס </t>
  </si>
  <si>
    <t>הום סטיילינג כולל ריהוט מלא </t>
  </si>
  <si>
    <t xml:space="preserve">אין צורך בעלויות השבחה </t>
  </si>
  <si>
    <t xml:space="preserve">שיפוץ </t>
  </si>
  <si>
    <t>העסקה להוסיף מהכסף</t>
  </si>
  <si>
    <t>מיזוג</t>
  </si>
  <si>
    <t xml:space="preserve">שנחסך ולקנות דירה </t>
  </si>
  <si>
    <t>ריצוף</t>
  </si>
  <si>
    <t>דלת כניסה</t>
  </si>
  <si>
    <t>דלתות</t>
  </si>
  <si>
    <t>גינה</t>
  </si>
  <si>
    <t>סנטריה (מקלחון, ארונית , ברז , מראה , אסלה)</t>
  </si>
  <si>
    <t>מטבח</t>
  </si>
  <si>
    <t>זיפוד</t>
  </si>
  <si>
    <t xml:space="preserve">נפילה בשמאות </t>
  </si>
  <si>
    <t>סה"כ עלות השבחה</t>
  </si>
  <si>
    <t xml:space="preserve">סיכום העסקה </t>
  </si>
  <si>
    <t>סה"כ עלות חד פעמית כוללת</t>
  </si>
  <si>
    <t>סה"כ הון עצמי מושקע</t>
  </si>
  <si>
    <t xml:space="preserve">הלוואה משלימה להגדלת ההון העצמי </t>
  </si>
  <si>
    <t>הוצאות שנתיות השכרת הנכס</t>
  </si>
  <si>
    <t>מס' תשלומים</t>
  </si>
  <si>
    <t>תיווך השכרה</t>
  </si>
  <si>
    <t>?</t>
  </si>
  <si>
    <t>תיקונים בתקופת השכרה</t>
  </si>
  <si>
    <t>ניהול הנכס</t>
  </si>
  <si>
    <t>סה"כ עלות השכרה בסוף התקופה</t>
  </si>
  <si>
    <t xml:space="preserve">עלויות מימון </t>
  </si>
  <si>
    <t>סכום</t>
  </si>
  <si>
    <t>תשלום ע"ח ריבית משכנתה(ממוצע)</t>
  </si>
  <si>
    <t>תשלום ע"ח ריבית הלוואה (ממוצע)</t>
  </si>
  <si>
    <t>פתיחת תיק מימון</t>
  </si>
  <si>
    <t>סה"כ עלות מימון בסוף התקופה</t>
  </si>
  <si>
    <t>הכנסות</t>
  </si>
  <si>
    <t>מס' חודשים</t>
  </si>
  <si>
    <t>שכירות חודשית</t>
  </si>
  <si>
    <t>הכנסה חודשית שכירות לפני שיפוץ</t>
  </si>
  <si>
    <t>חודשי שיפוץ</t>
  </si>
  <si>
    <t>הכנסה חודשית</t>
  </si>
  <si>
    <t xml:space="preserve">מושכרת </t>
  </si>
  <si>
    <t>הכנסה חודשית נטו</t>
  </si>
  <si>
    <t>סה"כ הכנסות בסוף התקופה</t>
  </si>
  <si>
    <t>תשואה על ההון שהושקע</t>
  </si>
  <si>
    <t xml:space="preserve">תשואה של העסקה </t>
  </si>
  <si>
    <t>לשנות רק את העמודה באפור</t>
  </si>
  <si>
    <t>מימוש</t>
  </si>
  <si>
    <t>תרחיש א' - פסימי - (3.5% בשנה)</t>
  </si>
  <si>
    <t>רווח</t>
  </si>
  <si>
    <t>תרחיש ב' - ריאלי (5% בשנה)</t>
  </si>
  <si>
    <t>מחיר שוק</t>
  </si>
  <si>
    <t>שנה 1</t>
  </si>
  <si>
    <t>שנה 2</t>
  </si>
  <si>
    <t>שנה 3</t>
  </si>
  <si>
    <t>שנה 4</t>
  </si>
  <si>
    <t>שנה 5</t>
  </si>
  <si>
    <t>שנה 6</t>
  </si>
  <si>
    <t>שנה 7</t>
  </si>
  <si>
    <t>שנה 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</si>
</sst>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_ * #,##0_ ;_ * \-#,##0_ ;_ * &quot;-&quot;??_ ;_ @_ "/>
    <numFmt numFmtId="165" formatCode="_ &quot;₪&quot;\ * #,##0_ ;_ &quot;₪&quot;\ * \-#,##0_ ;_ &quot;₪&quot;\ * &quot;-&quot;??_ ;_ @_ "/>
    <numFmt numFmtId="166" formatCode="#,##0_ ;\-#,##0\ "/>
    <numFmt numFmtId="167" formatCode="_ &quot;₪&quot;\ * #,##0.00_ ;_ &quot;₪&quot;\ * \-#,##0.00_ ;_ &quot;₪&quot;\ * &quot;-&quot;??_ ;_ @_ "/>
    <numFmt numFmtId="168" formatCode="dd&quot;/&quot;mm"/>
    <numFmt numFmtId="169" formatCode="0.0"/>
    <numFmt numFmtId="170" formatCode="&quot;₪&quot;\ #,##0;[Red]&quot;₪&quot;\ \-#,##0"/>
    <numFmt numFmtId="171" formatCode="[$₪-40D]#,##0"/>
    <numFmt numFmtId="172" formatCode="&quot;₪&quot;\ #,##0"/>
    <numFmt numFmtId="173" formatCode="#,##0.0"/>
    <numFmt numFmtId="174" formatCode="0.0%"/>
    <numFmt numFmtId="175" formatCode="&quot;₪&quot;\ #,##0.00;[Red]&quot;₪&quot;\ \-#,##0.00"/>
  </numFmts>
  <fonts count="46">
    <font>
      <sz val="11.0"/>
      <color theme="1"/>
      <name val="Calibri"/>
      <scheme val="minor"/>
    </font>
    <font>
      <sz val="12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/>
    <font>
      <color theme="1"/>
      <name val="Calibri"/>
    </font>
    <font>
      <b/>
      <sz val="15.0"/>
      <color theme="1"/>
      <name val="Calibri"/>
    </font>
    <font>
      <b/>
      <sz val="16.0"/>
      <color theme="1"/>
      <name val="Arial"/>
    </font>
    <font>
      <sz val="13.0"/>
      <color theme="1"/>
      <name val="Calibri"/>
    </font>
    <font>
      <b/>
      <sz val="15.0"/>
      <color rgb="FFFFFFFF"/>
      <name val="Calibri"/>
    </font>
    <font>
      <b/>
      <sz val="11.0"/>
      <color theme="1"/>
      <name val="Arial"/>
    </font>
    <font>
      <b/>
      <sz val="9.0"/>
      <color rgb="FF000000"/>
      <name val="Arial"/>
    </font>
    <font>
      <sz val="11.0"/>
      <color theme="1"/>
      <name val="Arial"/>
    </font>
    <font>
      <b/>
      <sz val="11.0"/>
      <color rgb="FF000000"/>
      <name val="Arial"/>
    </font>
    <font>
      <sz val="11.0"/>
      <color rgb="FF000000"/>
      <name val="Arial"/>
    </font>
    <font>
      <sz val="10.0"/>
      <color theme="1"/>
      <name val="Calibri"/>
    </font>
    <font>
      <sz val="9.0"/>
      <color rgb="FF1155CC"/>
      <name val="Arial"/>
    </font>
    <font>
      <sz val="11.0"/>
      <color rgb="FF000000"/>
      <name val="Calibri"/>
    </font>
    <font>
      <b/>
      <sz val="11.0"/>
      <color rgb="FF000000"/>
      <name val="Calibri"/>
    </font>
    <font>
      <b/>
      <sz val="11.0"/>
      <color rgb="FFFFFFFF"/>
      <name val="Arial"/>
    </font>
    <font>
      <b/>
      <color rgb="FFFFFFFF"/>
      <name val="Arial"/>
    </font>
    <font>
      <sz val="11.0"/>
      <color rgb="FFFFFFFF"/>
      <name val="Calibri"/>
    </font>
    <font>
      <b/>
      <sz val="17.0"/>
      <color rgb="FFFFFFFF"/>
      <name val="Calibri"/>
    </font>
    <font>
      <b/>
      <sz val="18.0"/>
      <color rgb="FFFFFFFF"/>
      <name val="Calibri"/>
    </font>
    <font>
      <sz val="17.0"/>
      <color rgb="FF000000"/>
      <name val="Calibri"/>
    </font>
    <font>
      <b/>
      <sz val="22.0"/>
      <color rgb="FFFFFFFF"/>
      <name val="Calibri"/>
    </font>
    <font>
      <sz val="18.0"/>
      <color rgb="FF000000"/>
      <name val="Calibri"/>
    </font>
    <font>
      <b/>
      <sz val="19.0"/>
      <color theme="1"/>
      <name val="Calibri"/>
    </font>
    <font>
      <sz val="18.0"/>
      <color theme="1"/>
      <name val="Calibri"/>
    </font>
    <font>
      <b/>
      <sz val="20.0"/>
      <color theme="1"/>
      <name val="Calibri"/>
    </font>
    <font>
      <b/>
      <sz val="19.0"/>
      <color rgb="FFFFFFFF"/>
      <name val="Calibri"/>
    </font>
    <font>
      <sz val="7.0"/>
      <color theme="1"/>
      <name val="Calibri"/>
    </font>
    <font>
      <b/>
      <sz val="11.0"/>
      <color theme="0"/>
      <name val="Calibri"/>
    </font>
    <font>
      <b/>
      <color theme="1"/>
      <name val="Calibri"/>
    </font>
    <font>
      <sz val="12.0"/>
      <color rgb="FFFFFFFF"/>
      <name val="Calibri"/>
    </font>
    <font>
      <b/>
      <sz val="11.0"/>
      <color rgb="FFFFFFFF"/>
      <name val="Calibri"/>
    </font>
    <font>
      <b/>
      <sz val="10.0"/>
      <color theme="1"/>
      <name val="Calibri"/>
    </font>
    <font>
      <b/>
      <sz val="27.0"/>
      <color rgb="FFFFFFFF"/>
      <name val="Calibri"/>
    </font>
    <font>
      <b/>
      <sz val="12.0"/>
      <color theme="0"/>
      <name val="Calibri"/>
    </font>
    <font>
      <b/>
      <sz val="12.0"/>
      <color rgb="FFFFFFFF"/>
      <name val="Calibri"/>
    </font>
    <font>
      <color theme="1"/>
      <name val="Calibri"/>
      <scheme val="minor"/>
    </font>
    <font>
      <sz val="11.0"/>
      <color theme="0"/>
      <name val="Calibri"/>
    </font>
    <font>
      <b/>
      <sz val="14.0"/>
      <color rgb="FF000000"/>
      <name val="Calibri"/>
    </font>
    <font>
      <sz val="8.0"/>
      <color theme="1"/>
      <name val="Calibri"/>
    </font>
    <font>
      <sz val="16.0"/>
      <color theme="1"/>
      <name val="Calibri"/>
    </font>
    <font>
      <sz val="9.0"/>
      <color theme="1"/>
      <name val="Calibri"/>
    </font>
  </fonts>
  <fills count="1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5"/>
        <bgColor theme="5"/>
      </patternFill>
    </fill>
    <fill>
      <patternFill patternType="solid">
        <fgColor rgb="FF3C78D8"/>
        <bgColor rgb="FF3C78D8"/>
      </patternFill>
    </fill>
    <fill>
      <patternFill patternType="solid">
        <fgColor rgb="FFF7CAAC"/>
        <bgColor rgb="FFF7CAAC"/>
      </patternFill>
    </fill>
    <fill>
      <patternFill patternType="solid">
        <fgColor rgb="FFFFFFFF"/>
        <bgColor rgb="FFFFFFFF"/>
      </patternFill>
    </fill>
    <fill>
      <patternFill patternType="solid">
        <fgColor rgb="FFD9E2F3"/>
        <bgColor rgb="FFD9E2F3"/>
      </patternFill>
    </fill>
    <fill>
      <patternFill patternType="solid">
        <fgColor rgb="FF666666"/>
        <bgColor rgb="FF666666"/>
      </patternFill>
    </fill>
    <fill>
      <patternFill patternType="solid">
        <fgColor rgb="FF8EAADB"/>
        <bgColor rgb="FF8EAADB"/>
      </patternFill>
    </fill>
    <fill>
      <patternFill patternType="solid">
        <fgColor rgb="FF93C47D"/>
        <bgColor rgb="FF93C47D"/>
      </patternFill>
    </fill>
    <fill>
      <patternFill patternType="solid">
        <fgColor rgb="FF2F5496"/>
        <bgColor rgb="FF2F5496"/>
      </patternFill>
    </fill>
    <fill>
      <patternFill patternType="solid">
        <fgColor theme="4"/>
        <bgColor theme="4"/>
      </patternFill>
    </fill>
    <fill>
      <patternFill patternType="solid">
        <fgColor rgb="FF548135"/>
        <bgColor rgb="FF548135"/>
      </patternFill>
    </fill>
    <fill>
      <patternFill patternType="solid">
        <fgColor rgb="FF8E7CC3"/>
        <bgColor rgb="FF8E7CC3"/>
      </patternFill>
    </fill>
    <fill>
      <patternFill patternType="solid">
        <fgColor rgb="FF999999"/>
        <bgColor rgb="FF999999"/>
      </patternFill>
    </fill>
    <fill>
      <patternFill patternType="solid">
        <fgColor rgb="FFB6D7A8"/>
        <bgColor rgb="FFB6D7A8"/>
      </patternFill>
    </fill>
    <fill>
      <patternFill patternType="solid">
        <fgColor rgb="FF57BB8A"/>
        <bgColor rgb="FF57BB8A"/>
      </patternFill>
    </fill>
  </fills>
  <borders count="32">
    <border/>
    <border>
      <left/>
      <right/>
      <top/>
      <bottom/>
    </border>
    <border>
      <left/>
      <right/>
      <top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  <bottom/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</border>
    <border>
      <top/>
    </border>
    <border>
      <left/>
      <right/>
      <bottom/>
    </border>
    <border>
      <left/>
      <right/>
    </border>
    <border>
      <left/>
      <top/>
      <bottom/>
    </border>
    <border>
      <left/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medium">
        <color rgb="FF000000"/>
      </left>
      <top/>
      <bottom style="medium">
        <color rgb="FF000000"/>
      </bottom>
    </border>
    <border>
      <right style="thin">
        <color rgb="FF000000"/>
      </right>
    </border>
    <border>
      <right/>
    </border>
  </borders>
  <cellStyleXfs count="1">
    <xf borderId="0" fillId="0" fontId="0" numFmtId="0" applyAlignment="1" applyFont="1"/>
  </cellStyleXfs>
  <cellXfs count="24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2" fillId="2" fontId="2" numFmtId="0" xfId="0" applyBorder="1" applyFont="1"/>
    <xf borderId="3" fillId="2" fontId="3" numFmtId="0" xfId="0" applyAlignment="1" applyBorder="1" applyFont="1">
      <alignment horizontal="center" readingOrder="0" shrinkToFit="0" vertical="center" wrapText="1"/>
    </xf>
    <xf borderId="4" fillId="0" fontId="4" numFmtId="0" xfId="0" applyBorder="1" applyFont="1"/>
    <xf borderId="5" fillId="0" fontId="5" numFmtId="0" xfId="0" applyAlignment="1" applyBorder="1" applyFont="1">
      <alignment horizontal="center"/>
    </xf>
    <xf borderId="6" fillId="2" fontId="2" numFmtId="0" xfId="0" applyBorder="1" applyFont="1"/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2" fontId="2" numFmtId="9" xfId="0" applyBorder="1" applyFont="1" applyNumberFormat="1"/>
    <xf borderId="13" fillId="0" fontId="4" numFmtId="0" xfId="0" applyBorder="1" applyFont="1"/>
    <xf borderId="14" fillId="2" fontId="2" numFmtId="0" xfId="0" applyBorder="1" applyFont="1"/>
    <xf borderId="15" fillId="2" fontId="2" numFmtId="0" xfId="0" applyBorder="1" applyFont="1"/>
    <xf borderId="2" fillId="2" fontId="6" numFmtId="0" xfId="0" applyBorder="1" applyFont="1"/>
    <xf borderId="16" fillId="2" fontId="2" numFmtId="0" xfId="0" applyBorder="1" applyFont="1"/>
    <xf borderId="5" fillId="3" fontId="7" numFmtId="0" xfId="0" applyAlignment="1" applyBorder="1" applyFill="1" applyFont="1">
      <alignment readingOrder="0"/>
    </xf>
    <xf borderId="17" fillId="0" fontId="4" numFmtId="0" xfId="0" applyBorder="1" applyFont="1"/>
    <xf borderId="1" fillId="2" fontId="8" numFmtId="0" xfId="0" applyBorder="1" applyFont="1"/>
    <xf borderId="13" fillId="2" fontId="2" numFmtId="0" xfId="0" applyBorder="1" applyFont="1"/>
    <xf borderId="18" fillId="4" fontId="9" numFmtId="0" xfId="0" applyAlignment="1" applyBorder="1" applyFill="1" applyFont="1">
      <alignment horizontal="center" readingOrder="0"/>
    </xf>
    <xf borderId="18" fillId="0" fontId="4" numFmtId="0" xfId="0" applyBorder="1" applyFont="1"/>
    <xf borderId="19" fillId="0" fontId="4" numFmtId="0" xfId="0" applyBorder="1" applyFont="1"/>
    <xf borderId="20" fillId="2" fontId="2" numFmtId="0" xfId="0" applyBorder="1" applyFont="1"/>
    <xf borderId="21" fillId="5" fontId="3" numFmtId="0" xfId="0" applyAlignment="1" applyBorder="1" applyFill="1" applyFont="1">
      <alignment horizontal="center" vertical="center"/>
    </xf>
    <xf borderId="0" fillId="6" fontId="2" numFmtId="0" xfId="0" applyFill="1" applyFont="1"/>
    <xf borderId="22" fillId="5" fontId="10" numFmtId="0" xfId="0" applyAlignment="1" applyBorder="1" applyFont="1">
      <alignment horizontal="center" readingOrder="0" vertical="center"/>
    </xf>
    <xf borderId="22" fillId="5" fontId="10" numFmtId="164" xfId="0" applyAlignment="1" applyBorder="1" applyFont="1" applyNumberFormat="1">
      <alignment horizontal="center" readingOrder="0" vertical="center"/>
    </xf>
    <xf borderId="22" fillId="5" fontId="10" numFmtId="165" xfId="0" applyAlignment="1" applyBorder="1" applyFont="1" applyNumberFormat="1">
      <alignment horizontal="center" readingOrder="2" vertical="center"/>
    </xf>
    <xf borderId="21" fillId="5" fontId="10" numFmtId="0" xfId="0" applyAlignment="1" applyBorder="1" applyFont="1">
      <alignment horizontal="center" readingOrder="0" vertical="center"/>
    </xf>
    <xf borderId="21" fillId="2" fontId="2" numFmtId="0" xfId="0" applyAlignment="1" applyBorder="1" applyFont="1">
      <alignment horizontal="right" readingOrder="0"/>
    </xf>
    <xf borderId="22" fillId="7" fontId="3" numFmtId="166" xfId="0" applyAlignment="1" applyBorder="1" applyFill="1" applyFont="1" applyNumberFormat="1">
      <alignment horizontal="center" readingOrder="0"/>
    </xf>
    <xf borderId="0" fillId="0" fontId="11" numFmtId="3" xfId="0" applyAlignment="1" applyFont="1" applyNumberFormat="1">
      <alignment horizontal="center" readingOrder="0"/>
    </xf>
    <xf borderId="22" fillId="0" fontId="10" numFmtId="0" xfId="0" applyAlignment="1" applyBorder="1" applyFont="1">
      <alignment horizontal="center" readingOrder="2"/>
    </xf>
    <xf borderId="22" fillId="0" fontId="12" numFmtId="10" xfId="0" applyAlignment="1" applyBorder="1" applyFont="1" applyNumberFormat="1">
      <alignment horizontal="center" readingOrder="2"/>
    </xf>
    <xf borderId="22" fillId="2" fontId="12" numFmtId="164" xfId="0" applyAlignment="1" applyBorder="1" applyFont="1" applyNumberFormat="1">
      <alignment horizontal="center"/>
    </xf>
    <xf borderId="22" fillId="2" fontId="12" numFmtId="165" xfId="0" applyBorder="1" applyFont="1" applyNumberFormat="1"/>
    <xf borderId="22" fillId="0" fontId="12" numFmtId="10" xfId="0" applyAlignment="1" applyBorder="1" applyFont="1" applyNumberFormat="1">
      <alignment horizontal="center" vertical="center"/>
    </xf>
    <xf borderId="22" fillId="6" fontId="13" numFmtId="167" xfId="0" applyAlignment="1" applyBorder="1" applyFont="1" applyNumberFormat="1">
      <alignment horizontal="center" readingOrder="0"/>
    </xf>
    <xf borderId="0" fillId="6" fontId="2" numFmtId="168" xfId="0" applyFont="1" applyNumberFormat="1"/>
    <xf borderId="6" fillId="2" fontId="2" numFmtId="169" xfId="0" applyBorder="1" applyFont="1" applyNumberFormat="1"/>
    <xf borderId="22" fillId="7" fontId="3" numFmtId="9" xfId="0" applyAlignment="1" applyBorder="1" applyFont="1" applyNumberFormat="1">
      <alignment horizontal="center" vertical="center"/>
    </xf>
    <xf borderId="0" fillId="0" fontId="14" numFmtId="3" xfId="0" applyAlignment="1" applyFont="1" applyNumberFormat="1">
      <alignment horizontal="center"/>
    </xf>
    <xf borderId="0" fillId="0" fontId="15" numFmtId="0" xfId="0" applyFont="1"/>
    <xf borderId="22" fillId="6" fontId="12" numFmtId="0" xfId="0" applyAlignment="1" applyBorder="1" applyFont="1">
      <alignment horizontal="center" readingOrder="0"/>
    </xf>
    <xf borderId="22" fillId="6" fontId="12" numFmtId="10" xfId="0" applyAlignment="1" applyBorder="1" applyFont="1" applyNumberFormat="1">
      <alignment horizontal="center" readingOrder="2"/>
    </xf>
    <xf borderId="22" fillId="6" fontId="14" numFmtId="164" xfId="0" applyAlignment="1" applyBorder="1" applyFont="1" applyNumberFormat="1">
      <alignment horizontal="center"/>
    </xf>
    <xf borderId="22" fillId="8" fontId="12" numFmtId="1" xfId="0" applyAlignment="1" applyBorder="1" applyFill="1" applyFont="1" applyNumberFormat="1">
      <alignment horizontal="center" readingOrder="0" vertical="center"/>
    </xf>
    <xf borderId="22" fillId="0" fontId="12" numFmtId="10" xfId="0" applyAlignment="1" applyBorder="1" applyFont="1" applyNumberFormat="1">
      <alignment horizontal="center" readingOrder="0"/>
    </xf>
    <xf borderId="22" fillId="0" fontId="12" numFmtId="170" xfId="0" applyAlignment="1" applyBorder="1" applyFont="1" applyNumberFormat="1">
      <alignment horizontal="center"/>
    </xf>
    <xf borderId="21" fillId="0" fontId="12" numFmtId="170" xfId="0" applyAlignment="1" applyBorder="1" applyFont="1" applyNumberFormat="1">
      <alignment horizontal="center"/>
    </xf>
    <xf borderId="22" fillId="2" fontId="12" numFmtId="171" xfId="0" applyAlignment="1" applyBorder="1" applyFont="1" applyNumberFormat="1">
      <alignment horizontal="center"/>
    </xf>
    <xf borderId="1" fillId="2" fontId="2" numFmtId="9" xfId="0" applyBorder="1" applyFont="1" applyNumberFormat="1"/>
    <xf borderId="1" fillId="2" fontId="2" numFmtId="3" xfId="0" applyBorder="1" applyFont="1" applyNumberFormat="1"/>
    <xf borderId="22" fillId="9" fontId="3" numFmtId="3" xfId="0" applyAlignment="1" applyBorder="1" applyFill="1" applyFont="1" applyNumberFormat="1">
      <alignment horizontal="center" vertical="center"/>
    </xf>
    <xf borderId="0" fillId="0" fontId="16" numFmtId="0" xfId="0" applyAlignment="1" applyFont="1">
      <alignment horizontal="center"/>
    </xf>
    <xf borderId="0" fillId="0" fontId="5" numFmtId="0" xfId="0" applyAlignment="1" applyFont="1">
      <alignment shrinkToFit="0" wrapText="1"/>
    </xf>
    <xf borderId="0" fillId="0" fontId="5" numFmtId="0" xfId="0" applyFont="1"/>
    <xf borderId="22" fillId="0" fontId="12" numFmtId="0" xfId="0" applyAlignment="1" applyBorder="1" applyFont="1">
      <alignment horizontal="center" readingOrder="0"/>
    </xf>
    <xf borderId="22" fillId="0" fontId="12" numFmtId="164" xfId="0" applyAlignment="1" applyBorder="1" applyFont="1" applyNumberFormat="1">
      <alignment horizontal="center"/>
    </xf>
    <xf borderId="22" fillId="0" fontId="12" numFmtId="0" xfId="0" applyAlignment="1" applyBorder="1" applyFont="1">
      <alignment horizontal="center" readingOrder="0" vertical="center"/>
    </xf>
    <xf borderId="12" fillId="2" fontId="2" numFmtId="0" xfId="0" applyBorder="1" applyFont="1"/>
    <xf borderId="21" fillId="10" fontId="17" numFmtId="0" xfId="0" applyAlignment="1" applyBorder="1" applyFill="1" applyFont="1">
      <alignment horizontal="right" readingOrder="0"/>
    </xf>
    <xf borderId="22" fillId="10" fontId="18" numFmtId="3" xfId="0" applyAlignment="1" applyBorder="1" applyFont="1" applyNumberFormat="1">
      <alignment horizontal="center" readingOrder="0" vertical="center"/>
    </xf>
    <xf borderId="22" fillId="0" fontId="12" numFmtId="0" xfId="0" applyAlignment="1" applyBorder="1" applyFont="1">
      <alignment horizontal="center" readingOrder="0" shrinkToFit="0" wrapText="1"/>
    </xf>
    <xf borderId="22" fillId="0" fontId="12" numFmtId="0" xfId="0" applyAlignment="1" applyBorder="1" applyFont="1">
      <alignment horizontal="center" vertical="center"/>
    </xf>
    <xf borderId="22" fillId="4" fontId="19" numFmtId="170" xfId="0" applyAlignment="1" applyBorder="1" applyFont="1" applyNumberFormat="1">
      <alignment horizontal="center"/>
    </xf>
    <xf borderId="21" fillId="4" fontId="19" numFmtId="170" xfId="0" applyAlignment="1" applyBorder="1" applyFont="1" applyNumberFormat="1">
      <alignment horizontal="center"/>
    </xf>
    <xf borderId="22" fillId="4" fontId="20" numFmtId="171" xfId="0" applyAlignment="1" applyBorder="1" applyFont="1" applyNumberFormat="1">
      <alignment horizontal="center"/>
    </xf>
    <xf borderId="22" fillId="4" fontId="19" numFmtId="0" xfId="0" applyAlignment="1" applyBorder="1" applyFont="1">
      <alignment horizontal="center" readingOrder="0"/>
    </xf>
    <xf borderId="22" fillId="4" fontId="21" numFmtId="0" xfId="0" applyAlignment="1" applyBorder="1" applyFont="1">
      <alignment horizontal="center"/>
    </xf>
    <xf borderId="0" fillId="6" fontId="5" numFmtId="0" xfId="0" applyAlignment="1" applyFont="1">
      <alignment readingOrder="0"/>
    </xf>
    <xf borderId="0" fillId="6" fontId="5" numFmtId="0" xfId="0" applyAlignment="1" applyFont="1">
      <alignment shrinkToFit="0" wrapText="1"/>
    </xf>
    <xf borderId="22" fillId="0" fontId="5" numFmtId="0" xfId="0" applyBorder="1" applyFont="1"/>
    <xf quotePrefix="1" borderId="22" fillId="0" fontId="12" numFmtId="0" xfId="0" applyAlignment="1" applyBorder="1" applyFont="1">
      <alignment horizontal="center" vertical="center"/>
    </xf>
    <xf borderId="22" fillId="0" fontId="12" numFmtId="0" xfId="0" applyAlignment="1" applyBorder="1" applyFont="1">
      <alignment vertical="center"/>
    </xf>
    <xf borderId="23" fillId="2" fontId="2" numFmtId="0" xfId="0" applyBorder="1" applyFont="1"/>
    <xf borderId="0" fillId="2" fontId="2" numFmtId="0" xfId="0" applyFont="1"/>
    <xf borderId="0" fillId="6" fontId="5" numFmtId="0" xfId="0" applyAlignment="1" applyFont="1">
      <alignment readingOrder="0"/>
    </xf>
    <xf borderId="0" fillId="6" fontId="5" numFmtId="0" xfId="0" applyFont="1"/>
    <xf borderId="15" fillId="11" fontId="22" numFmtId="0" xfId="0" applyAlignment="1" applyBorder="1" applyFill="1" applyFont="1">
      <alignment readingOrder="0"/>
    </xf>
    <xf borderId="17" fillId="2" fontId="2" numFmtId="0" xfId="0" applyBorder="1" applyFont="1"/>
    <xf borderId="18" fillId="12" fontId="23" numFmtId="0" xfId="0" applyAlignment="1" applyBorder="1" applyFill="1" applyFont="1">
      <alignment horizontal="center" readingOrder="0" shrinkToFit="0" wrapText="1"/>
    </xf>
    <xf borderId="21" fillId="12" fontId="9" numFmtId="0" xfId="0" applyAlignment="1" applyBorder="1" applyFont="1">
      <alignment horizontal="center" readingOrder="0" shrinkToFit="0" wrapText="1"/>
    </xf>
    <xf borderId="0" fillId="6" fontId="6" numFmtId="0" xfId="0" applyAlignment="1" applyFont="1">
      <alignment horizontal="center"/>
    </xf>
    <xf borderId="16" fillId="2" fontId="2" numFmtId="0" xfId="0" applyAlignment="1" applyBorder="1" applyFont="1">
      <alignment horizontal="right" vertical="center"/>
    </xf>
    <xf borderId="21" fillId="5" fontId="3" numFmtId="0" xfId="0" applyAlignment="1" applyBorder="1" applyFont="1">
      <alignment horizontal="right" readingOrder="0" vertical="center"/>
    </xf>
    <xf borderId="0" fillId="2" fontId="2" numFmtId="0" xfId="0" applyAlignment="1" applyFont="1">
      <alignment horizontal="right" vertical="center"/>
    </xf>
    <xf borderId="19" fillId="5" fontId="3" numFmtId="0" xfId="0" applyAlignment="1" applyBorder="1" applyFont="1">
      <alignment horizontal="right" readingOrder="0" vertical="center"/>
    </xf>
    <xf borderId="22" fillId="5" fontId="3" numFmtId="0" xfId="0" applyAlignment="1" applyBorder="1" applyFont="1">
      <alignment horizontal="right" readingOrder="0" vertical="center"/>
    </xf>
    <xf borderId="0" fillId="6" fontId="24" numFmtId="0" xfId="0" applyAlignment="1" applyFont="1">
      <alignment horizontal="center"/>
    </xf>
    <xf borderId="0" fillId="6" fontId="25" numFmtId="0" xfId="0" applyAlignment="1" applyFont="1">
      <alignment horizontal="center"/>
    </xf>
    <xf borderId="22" fillId="9" fontId="3" numFmtId="0" xfId="0" applyAlignment="1" applyBorder="1" applyFont="1">
      <alignment horizontal="right" readingOrder="0" vertical="center"/>
    </xf>
    <xf borderId="6" fillId="2" fontId="2" numFmtId="0" xfId="0" applyAlignment="1" applyBorder="1" applyFont="1">
      <alignment horizontal="right" vertical="center"/>
    </xf>
    <xf borderId="1" fillId="2" fontId="2" numFmtId="170" xfId="0" applyAlignment="1" applyBorder="1" applyFont="1" applyNumberFormat="1">
      <alignment horizontal="right" vertical="center"/>
    </xf>
    <xf borderId="14" fillId="2" fontId="2" numFmtId="1" xfId="0" applyAlignment="1" applyBorder="1" applyFont="1" applyNumberFormat="1">
      <alignment horizontal="right" vertical="center"/>
    </xf>
    <xf borderId="14" fillId="2" fontId="2" numFmtId="172" xfId="0" applyAlignment="1" applyBorder="1" applyFont="1" applyNumberFormat="1">
      <alignment horizontal="right" vertical="center"/>
    </xf>
    <xf borderId="23" fillId="2" fontId="2" numFmtId="172" xfId="0" applyAlignment="1" applyBorder="1" applyFont="1" applyNumberFormat="1">
      <alignment horizontal="right" vertical="center"/>
    </xf>
    <xf borderId="22" fillId="2" fontId="2" numFmtId="0" xfId="0" applyAlignment="1" applyBorder="1" applyFont="1">
      <alignment horizontal="right" readingOrder="0" vertical="center"/>
    </xf>
    <xf borderId="22" fillId="6" fontId="17" numFmtId="0" xfId="0" applyAlignment="1" applyBorder="1" applyFont="1">
      <alignment horizontal="right" vertical="center"/>
    </xf>
    <xf borderId="22" fillId="7" fontId="2" numFmtId="166" xfId="0" applyAlignment="1" applyBorder="1" applyFont="1" applyNumberFormat="1">
      <alignment horizontal="right"/>
    </xf>
    <xf borderId="1" fillId="2" fontId="2" numFmtId="1" xfId="0" applyAlignment="1" applyBorder="1" applyFont="1" applyNumberFormat="1">
      <alignment horizontal="right" vertical="center"/>
    </xf>
    <xf borderId="1" fillId="2" fontId="2" numFmtId="172" xfId="0" applyAlignment="1" applyBorder="1" applyFont="1" applyNumberFormat="1">
      <alignment horizontal="right" vertical="center"/>
    </xf>
    <xf borderId="16" fillId="2" fontId="2" numFmtId="172" xfId="0" applyAlignment="1" applyBorder="1" applyFont="1" applyNumberFormat="1">
      <alignment horizontal="right" vertical="center"/>
    </xf>
    <xf borderId="0" fillId="6" fontId="26" numFmtId="0" xfId="0" applyAlignment="1" applyFont="1">
      <alignment horizontal="center"/>
    </xf>
    <xf borderId="0" fillId="6" fontId="27" numFmtId="0" xfId="0" applyAlignment="1" applyFont="1">
      <alignment horizontal="center"/>
    </xf>
    <xf borderId="22" fillId="2" fontId="2" numFmtId="10" xfId="0" applyAlignment="1" applyBorder="1" applyFont="1" applyNumberFormat="1">
      <alignment horizontal="right" readingOrder="0" vertical="center"/>
    </xf>
    <xf borderId="0" fillId="0" fontId="5" numFmtId="3" xfId="0" applyFont="1" applyNumberFormat="1"/>
    <xf borderId="0" fillId="6" fontId="28" numFmtId="0" xfId="0" applyAlignment="1" applyFont="1">
      <alignment horizontal="center"/>
    </xf>
    <xf borderId="0" fillId="6" fontId="29" numFmtId="0" xfId="0" applyAlignment="1" applyFont="1">
      <alignment horizontal="center"/>
    </xf>
    <xf borderId="22" fillId="2" fontId="3" numFmtId="10" xfId="0" applyAlignment="1" applyBorder="1" applyFont="1" applyNumberFormat="1">
      <alignment horizontal="right" vertical="center"/>
    </xf>
    <xf borderId="22" fillId="7" fontId="2" numFmtId="166" xfId="0" applyAlignment="1" applyBorder="1" applyFont="1" applyNumberFormat="1">
      <alignment horizontal="right" readingOrder="0"/>
    </xf>
    <xf borderId="0" fillId="6" fontId="30" numFmtId="0" xfId="0" applyAlignment="1" applyFont="1">
      <alignment horizontal="center"/>
    </xf>
    <xf borderId="12" fillId="2" fontId="2" numFmtId="172" xfId="0" applyAlignment="1" applyBorder="1" applyFont="1" applyNumberFormat="1">
      <alignment horizontal="right" vertical="center"/>
    </xf>
    <xf borderId="22" fillId="7" fontId="2" numFmtId="166" xfId="0" applyAlignment="1" applyBorder="1" applyFont="1" applyNumberFormat="1">
      <alignment horizontal="right" readingOrder="0"/>
    </xf>
    <xf borderId="0" fillId="2" fontId="2" numFmtId="172" xfId="0" applyAlignment="1" applyFont="1" applyNumberFormat="1">
      <alignment horizontal="right" vertical="center"/>
    </xf>
    <xf borderId="22" fillId="2" fontId="2" numFmtId="0" xfId="0" applyAlignment="1" applyBorder="1" applyFont="1">
      <alignment horizontal="right" vertical="center"/>
    </xf>
    <xf borderId="0" fillId="2" fontId="2" numFmtId="173" xfId="0" applyAlignment="1" applyFont="1" applyNumberFormat="1">
      <alignment horizontal="right" vertical="center"/>
    </xf>
    <xf borderId="22" fillId="6" fontId="17" numFmtId="0" xfId="0" applyAlignment="1" applyBorder="1" applyFont="1">
      <alignment horizontal="right" readingOrder="0"/>
    </xf>
    <xf borderId="0" fillId="0" fontId="5" numFmtId="173" xfId="0" applyFont="1" applyNumberFormat="1"/>
    <xf borderId="0" fillId="2" fontId="31" numFmtId="0" xfId="0" applyAlignment="1" applyFont="1">
      <alignment horizontal="right" vertical="center"/>
    </xf>
    <xf borderId="22" fillId="7" fontId="2" numFmtId="166" xfId="0" applyAlignment="1" applyBorder="1" applyFont="1" applyNumberFormat="1">
      <alignment horizontal="right" vertical="center"/>
    </xf>
    <xf borderId="1" fillId="2" fontId="2" numFmtId="0" xfId="0" applyAlignment="1" applyBorder="1" applyFont="1">
      <alignment horizontal="right" vertical="center"/>
    </xf>
    <xf borderId="24" fillId="11" fontId="32" numFmtId="0" xfId="0" applyAlignment="1" applyBorder="1" applyFont="1">
      <alignment horizontal="right" readingOrder="0" vertical="center"/>
    </xf>
    <xf borderId="25" fillId="0" fontId="4" numFmtId="0" xfId="0" applyBorder="1" applyFont="1"/>
    <xf borderId="21" fillId="11" fontId="32" numFmtId="166" xfId="0" applyAlignment="1" applyBorder="1" applyFont="1" applyNumberFormat="1">
      <alignment horizontal="right" vertical="center"/>
    </xf>
    <xf borderId="17" fillId="2" fontId="32" numFmtId="0" xfId="0" applyAlignment="1" applyBorder="1" applyFont="1">
      <alignment horizontal="right" vertical="center"/>
    </xf>
    <xf borderId="21" fillId="9" fontId="3" numFmtId="0" xfId="0" applyAlignment="1" applyBorder="1" applyFont="1">
      <alignment horizontal="right" readingOrder="0" vertical="center"/>
    </xf>
    <xf borderId="22" fillId="9" fontId="3" numFmtId="0" xfId="0" applyAlignment="1" applyBorder="1" applyFont="1">
      <alignment horizontal="right" vertical="center"/>
    </xf>
    <xf borderId="0" fillId="6" fontId="2" numFmtId="0" xfId="0" applyAlignment="1" applyFont="1">
      <alignment horizontal="right" vertical="center"/>
    </xf>
    <xf borderId="6" fillId="10" fontId="2" numFmtId="0" xfId="0" applyAlignment="1" applyBorder="1" applyFont="1">
      <alignment horizontal="right" vertical="center"/>
    </xf>
    <xf borderId="1" fillId="10" fontId="2" numFmtId="170" xfId="0" applyAlignment="1" applyBorder="1" applyFont="1" applyNumberFormat="1">
      <alignment horizontal="right" vertical="center"/>
    </xf>
    <xf borderId="1" fillId="10" fontId="2" numFmtId="1" xfId="0" applyAlignment="1" applyBorder="1" applyFont="1" applyNumberFormat="1">
      <alignment horizontal="right" vertical="center"/>
    </xf>
    <xf borderId="1" fillId="10" fontId="2" numFmtId="172" xfId="0" applyAlignment="1" applyBorder="1" applyFont="1" applyNumberFormat="1">
      <alignment horizontal="right" vertical="center"/>
    </xf>
    <xf borderId="21" fillId="2" fontId="2" numFmtId="0" xfId="0" applyAlignment="1" applyBorder="1" applyFont="1">
      <alignment horizontal="right" readingOrder="0" vertical="center"/>
    </xf>
    <xf borderId="0" fillId="2" fontId="2" numFmtId="0" xfId="0" applyAlignment="1" applyFont="1">
      <alignment horizontal="right" readingOrder="0" vertical="center"/>
    </xf>
    <xf borderId="0" fillId="2" fontId="2" numFmtId="0" xfId="0" applyAlignment="1" applyFont="1">
      <alignment horizontal="right" readingOrder="0" vertical="center"/>
    </xf>
    <xf borderId="26" fillId="2" fontId="2" numFmtId="0" xfId="0" applyAlignment="1" applyBorder="1" applyFont="1">
      <alignment horizontal="right" vertical="center"/>
    </xf>
    <xf borderId="14" fillId="2" fontId="2" numFmtId="0" xfId="0" applyAlignment="1" applyBorder="1" applyFont="1">
      <alignment horizontal="right" vertical="center"/>
    </xf>
    <xf borderId="27" fillId="11" fontId="32" numFmtId="0" xfId="0" applyAlignment="1" applyBorder="1" applyFont="1">
      <alignment horizontal="right" readingOrder="0" vertical="center"/>
    </xf>
    <xf borderId="28" fillId="11" fontId="32" numFmtId="0" xfId="0" applyAlignment="1" applyBorder="1" applyFont="1">
      <alignment horizontal="right" vertical="center"/>
    </xf>
    <xf borderId="22" fillId="11" fontId="32" numFmtId="166" xfId="0" applyAlignment="1" applyBorder="1" applyFont="1" applyNumberFormat="1">
      <alignment horizontal="right" vertical="center"/>
    </xf>
    <xf borderId="15" fillId="2" fontId="2" numFmtId="0" xfId="0" applyAlignment="1" applyBorder="1" applyFont="1">
      <alignment horizontal="right" vertical="center"/>
    </xf>
    <xf borderId="2" fillId="2" fontId="2" numFmtId="0" xfId="0" applyAlignment="1" applyBorder="1" applyFont="1">
      <alignment horizontal="right" vertical="center"/>
    </xf>
    <xf borderId="22" fillId="5" fontId="33" numFmtId="0" xfId="0" applyAlignment="1" applyBorder="1" applyFont="1">
      <alignment horizontal="right" readingOrder="0"/>
    </xf>
    <xf borderId="0" fillId="6" fontId="34" numFmtId="0" xfId="0" applyAlignment="1" applyFont="1">
      <alignment horizontal="right" vertical="center"/>
    </xf>
    <xf borderId="21" fillId="11" fontId="32" numFmtId="0" xfId="0" applyAlignment="1" applyBorder="1" applyFont="1">
      <alignment horizontal="right" readingOrder="0" vertical="center"/>
    </xf>
    <xf borderId="21" fillId="13" fontId="32" numFmtId="0" xfId="0" applyAlignment="1" applyBorder="1" applyFill="1" applyFont="1">
      <alignment horizontal="right" readingOrder="0" vertical="center"/>
    </xf>
    <xf borderId="22" fillId="13" fontId="35" numFmtId="166" xfId="0" applyAlignment="1" applyBorder="1" applyFont="1" applyNumberFormat="1">
      <alignment horizontal="right" vertical="center"/>
    </xf>
    <xf borderId="21" fillId="14" fontId="35" numFmtId="0" xfId="0" applyAlignment="1" applyBorder="1" applyFill="1" applyFont="1">
      <alignment horizontal="right" readingOrder="0" vertical="center"/>
    </xf>
    <xf borderId="22" fillId="14" fontId="35" numFmtId="166" xfId="0" applyAlignment="1" applyBorder="1" applyFont="1" applyNumberFormat="1">
      <alignment horizontal="right" vertical="center"/>
    </xf>
    <xf borderId="14" fillId="6" fontId="2" numFmtId="0" xfId="0" applyAlignment="1" applyBorder="1" applyFont="1">
      <alignment horizontal="right" vertical="center"/>
    </xf>
    <xf borderId="1" fillId="13" fontId="21" numFmtId="0" xfId="0" applyAlignment="1" applyBorder="1" applyFont="1">
      <alignment horizontal="right" vertical="center"/>
    </xf>
    <xf borderId="1" fillId="13" fontId="21" numFmtId="170" xfId="0" applyAlignment="1" applyBorder="1" applyFont="1" applyNumberFormat="1">
      <alignment horizontal="right" vertical="center"/>
    </xf>
    <xf borderId="1" fillId="13" fontId="21" numFmtId="1" xfId="0" applyAlignment="1" applyBorder="1" applyFont="1" applyNumberFormat="1">
      <alignment horizontal="right" vertical="center"/>
    </xf>
    <xf borderId="1" fillId="13" fontId="21" numFmtId="172" xfId="0" applyAlignment="1" applyBorder="1" applyFont="1" applyNumberFormat="1">
      <alignment horizontal="right" vertical="center"/>
    </xf>
    <xf borderId="22" fillId="9" fontId="36" numFmtId="0" xfId="0" applyAlignment="1" applyBorder="1" applyFont="1">
      <alignment horizontal="right" readingOrder="0" vertical="center"/>
    </xf>
    <xf borderId="22" fillId="2" fontId="2" numFmtId="166" xfId="0" applyAlignment="1" applyBorder="1" applyFont="1" applyNumberFormat="1">
      <alignment horizontal="right" vertical="center"/>
    </xf>
    <xf borderId="22" fillId="7" fontId="2" numFmtId="166" xfId="0" applyAlignment="1" applyBorder="1" applyFont="1" applyNumberFormat="1">
      <alignment horizontal="right" readingOrder="0" vertical="center"/>
    </xf>
    <xf borderId="6" fillId="2" fontId="2" numFmtId="0" xfId="0" applyAlignment="1" applyBorder="1" applyFont="1">
      <alignment horizontal="right" readingOrder="0" vertical="center"/>
    </xf>
    <xf borderId="28" fillId="11" fontId="32" numFmtId="166" xfId="0" applyAlignment="1" applyBorder="1" applyFont="1" applyNumberFormat="1">
      <alignment horizontal="right" vertical="center"/>
    </xf>
    <xf borderId="22" fillId="11" fontId="35" numFmtId="166" xfId="0" applyAlignment="1" applyBorder="1" applyFont="1" applyNumberFormat="1">
      <alignment horizontal="right" vertical="center"/>
    </xf>
    <xf borderId="22" fillId="9" fontId="36" numFmtId="2" xfId="0" applyAlignment="1" applyBorder="1" applyFont="1" applyNumberFormat="1">
      <alignment horizontal="right" readingOrder="0" vertical="center"/>
    </xf>
    <xf borderId="1" fillId="6" fontId="2" numFmtId="0" xfId="0" applyAlignment="1" applyBorder="1" applyFont="1">
      <alignment horizontal="right" vertical="center"/>
    </xf>
    <xf borderId="1" fillId="6" fontId="2" numFmtId="170" xfId="0" applyAlignment="1" applyBorder="1" applyFont="1" applyNumberFormat="1">
      <alignment horizontal="right" vertical="center"/>
    </xf>
    <xf borderId="1" fillId="6" fontId="2" numFmtId="1" xfId="0" applyAlignment="1" applyBorder="1" applyFont="1" applyNumberFormat="1">
      <alignment horizontal="right" vertical="center"/>
    </xf>
    <xf borderId="1" fillId="6" fontId="2" numFmtId="172" xfId="0" applyAlignment="1" applyBorder="1" applyFont="1" applyNumberFormat="1">
      <alignment horizontal="right" vertical="center"/>
    </xf>
    <xf borderId="1" fillId="7" fontId="2" numFmtId="0" xfId="0" applyBorder="1" applyFont="1"/>
    <xf borderId="22" fillId="11" fontId="32" numFmtId="0" xfId="0" applyAlignment="1" applyBorder="1" applyFont="1">
      <alignment horizontal="right" readingOrder="0" vertical="center"/>
    </xf>
    <xf borderId="22" fillId="11" fontId="3" numFmtId="166" xfId="0" applyAlignment="1" applyBorder="1" applyFont="1" applyNumberFormat="1">
      <alignment horizontal="right" vertical="center"/>
    </xf>
    <xf borderId="0" fillId="2" fontId="5" numFmtId="0" xfId="0" applyFont="1"/>
    <xf borderId="2" fillId="11" fontId="37" numFmtId="0" xfId="0" applyAlignment="1" applyBorder="1" applyFont="1">
      <alignment horizontal="center" readingOrder="0"/>
    </xf>
    <xf borderId="15" fillId="0" fontId="4" numFmtId="0" xfId="0" applyBorder="1" applyFont="1"/>
    <xf borderId="0" fillId="2" fontId="17" numFmtId="0" xfId="0" applyAlignment="1" applyFont="1">
      <alignment horizontal="right"/>
    </xf>
    <xf borderId="0" fillId="0" fontId="5" numFmtId="0" xfId="0" applyAlignment="1" applyFont="1">
      <alignment readingOrder="0"/>
    </xf>
    <xf borderId="6" fillId="2" fontId="2" numFmtId="10" xfId="0" applyAlignment="1" applyBorder="1" applyFont="1" applyNumberFormat="1">
      <alignment horizontal="right" vertical="center"/>
    </xf>
    <xf borderId="1" fillId="2" fontId="2" numFmtId="0" xfId="0" applyAlignment="1" applyBorder="1" applyFont="1">
      <alignment horizontal="right" shrinkToFit="0" vertical="center" wrapText="1"/>
    </xf>
    <xf borderId="29" fillId="11" fontId="35" numFmtId="0" xfId="0" applyAlignment="1" applyBorder="1" applyFont="1">
      <alignment horizontal="right" readingOrder="0" vertical="center"/>
    </xf>
    <xf borderId="22" fillId="11" fontId="38" numFmtId="174" xfId="0" applyAlignment="1" applyBorder="1" applyFont="1" applyNumberFormat="1">
      <alignment horizontal="right" vertical="center"/>
    </xf>
    <xf borderId="15" fillId="6" fontId="35" numFmtId="174" xfId="0" applyAlignment="1" applyBorder="1" applyFont="1" applyNumberFormat="1">
      <alignment horizontal="right" vertical="center"/>
    </xf>
    <xf borderId="16" fillId="11" fontId="35" numFmtId="0" xfId="0" applyAlignment="1" applyBorder="1" applyFont="1">
      <alignment horizontal="right" readingOrder="0" vertical="center"/>
    </xf>
    <xf borderId="22" fillId="11" fontId="39" numFmtId="10" xfId="0" applyAlignment="1" applyBorder="1" applyFont="1" applyNumberFormat="1">
      <alignment horizontal="right" vertical="center"/>
    </xf>
    <xf borderId="6" fillId="2" fontId="2" numFmtId="9" xfId="0" applyAlignment="1" applyBorder="1" applyFont="1" applyNumberFormat="1">
      <alignment horizontal="right" vertical="center"/>
    </xf>
    <xf borderId="0" fillId="15" fontId="40" numFmtId="0" xfId="0" applyAlignment="1" applyFill="1" applyFont="1">
      <alignment readingOrder="0"/>
    </xf>
    <xf borderId="0" fillId="6" fontId="3" numFmtId="0" xfId="0" applyAlignment="1" applyFont="1">
      <alignment horizontal="right" vertical="center"/>
    </xf>
    <xf borderId="12" fillId="2" fontId="2" numFmtId="0" xfId="0" applyAlignment="1" applyBorder="1" applyFont="1">
      <alignment horizontal="right" vertical="center"/>
    </xf>
    <xf borderId="21" fillId="5" fontId="3" numFmtId="0" xfId="0" applyAlignment="1" applyBorder="1" applyFont="1">
      <alignment horizontal="center" readingOrder="0" vertical="center"/>
    </xf>
    <xf borderId="0" fillId="2" fontId="3" numFmtId="0" xfId="0" applyAlignment="1" applyFont="1">
      <alignment horizontal="right" readingOrder="0" vertical="center"/>
    </xf>
    <xf borderId="22" fillId="15" fontId="5" numFmtId="3" xfId="0" applyAlignment="1" applyBorder="1" applyFont="1" applyNumberFormat="1">
      <alignment horizontal="center" readingOrder="0"/>
    </xf>
    <xf borderId="22" fillId="16" fontId="33" numFmtId="3" xfId="0" applyAlignment="1" applyBorder="1" applyFill="1" applyFont="1" applyNumberFormat="1">
      <alignment horizontal="center"/>
    </xf>
    <xf borderId="21" fillId="6" fontId="17" numFmtId="3" xfId="0" applyAlignment="1" applyBorder="1" applyFont="1" applyNumberFormat="1">
      <alignment horizontal="center"/>
    </xf>
    <xf borderId="22" fillId="16" fontId="18" numFmtId="166" xfId="0" applyAlignment="1" applyBorder="1" applyFont="1" applyNumberFormat="1">
      <alignment horizontal="center" vertical="center"/>
    </xf>
    <xf borderId="0" fillId="6" fontId="41" numFmtId="166" xfId="0" applyAlignment="1" applyFont="1" applyNumberFormat="1">
      <alignment horizontal="right" vertical="center"/>
    </xf>
    <xf borderId="1" fillId="6" fontId="2" numFmtId="0" xfId="0" applyBorder="1" applyFont="1"/>
    <xf borderId="30" fillId="6" fontId="3" numFmtId="0" xfId="0" applyAlignment="1" applyBorder="1" applyFont="1">
      <alignment horizontal="right" readingOrder="0" vertical="center"/>
    </xf>
    <xf borderId="19" fillId="6" fontId="5" numFmtId="3" xfId="0" applyAlignment="1" applyBorder="1" applyFont="1" applyNumberFormat="1">
      <alignment horizontal="center"/>
    </xf>
    <xf borderId="21" fillId="6" fontId="17" numFmtId="3" xfId="0" applyAlignment="1" applyBorder="1" applyFont="1" applyNumberFormat="1">
      <alignment horizontal="center" vertical="center"/>
    </xf>
    <xf borderId="22" fillId="16" fontId="18" numFmtId="3" xfId="0" applyAlignment="1" applyBorder="1" applyFont="1" applyNumberFormat="1">
      <alignment horizontal="center" vertical="center"/>
    </xf>
    <xf borderId="0" fillId="6" fontId="41" numFmtId="171" xfId="0" applyFont="1" applyNumberFormat="1"/>
    <xf borderId="0" fillId="6" fontId="32" numFmtId="166" xfId="0" applyAlignment="1" applyFont="1" applyNumberFormat="1">
      <alignment horizontal="right" vertical="center"/>
    </xf>
    <xf borderId="30" fillId="2" fontId="3" numFmtId="0" xfId="0" applyAlignment="1" applyBorder="1" applyFont="1">
      <alignment horizontal="right" readingOrder="0" vertical="center"/>
    </xf>
    <xf borderId="22" fillId="6" fontId="5" numFmtId="3" xfId="0" applyAlignment="1" applyBorder="1" applyFont="1" applyNumberFormat="1">
      <alignment horizontal="center"/>
    </xf>
    <xf borderId="31" fillId="2" fontId="2" numFmtId="0" xfId="0" applyAlignment="1" applyBorder="1" applyFont="1">
      <alignment horizontal="right" vertical="center"/>
    </xf>
    <xf borderId="0" fillId="6" fontId="3" numFmtId="0" xfId="0" applyAlignment="1" applyFont="1">
      <alignment horizontal="center" vertical="center"/>
    </xf>
    <xf borderId="0" fillId="6" fontId="32" numFmtId="174" xfId="0" applyAlignment="1" applyFont="1" applyNumberFormat="1">
      <alignment horizontal="right" vertical="center"/>
    </xf>
    <xf borderId="0" fillId="6" fontId="3" numFmtId="170" xfId="0" applyAlignment="1" applyFont="1" applyNumberFormat="1">
      <alignment horizontal="right"/>
    </xf>
    <xf borderId="6" fillId="2" fontId="3" numFmtId="0" xfId="0" applyAlignment="1" applyBorder="1" applyFont="1">
      <alignment horizontal="right" vertical="center"/>
    </xf>
    <xf borderId="1" fillId="2" fontId="3" numFmtId="0" xfId="0" applyAlignment="1" applyBorder="1" applyFont="1">
      <alignment horizontal="center" vertical="center"/>
    </xf>
    <xf borderId="0" fillId="6" fontId="32" numFmtId="0" xfId="0" applyAlignment="1" applyFont="1">
      <alignment horizontal="center" vertical="center"/>
    </xf>
    <xf borderId="0" fillId="6" fontId="42" numFmtId="10" xfId="0" applyAlignment="1" applyFont="1" applyNumberFormat="1">
      <alignment horizontal="center" vertical="center"/>
    </xf>
    <xf borderId="0" fillId="6" fontId="42" numFmtId="166" xfId="0" applyAlignment="1" applyFont="1" applyNumberFormat="1">
      <alignment horizontal="center" vertical="center"/>
    </xf>
    <xf borderId="6" fillId="2" fontId="2" numFmtId="170" xfId="0" applyAlignment="1" applyBorder="1" applyFont="1" applyNumberFormat="1">
      <alignment horizontal="right" vertical="center"/>
    </xf>
    <xf borderId="1" fillId="17" fontId="2" numFmtId="0" xfId="0" applyAlignment="1" applyBorder="1" applyFill="1" applyFont="1">
      <alignment horizontal="right" vertical="center"/>
    </xf>
    <xf borderId="1" fillId="17" fontId="2" numFmtId="170" xfId="0" applyAlignment="1" applyBorder="1" applyFont="1" applyNumberFormat="1">
      <alignment horizontal="right" vertical="center"/>
    </xf>
    <xf borderId="1" fillId="17" fontId="2" numFmtId="1" xfId="0" applyAlignment="1" applyBorder="1" applyFont="1" applyNumberFormat="1">
      <alignment horizontal="right" vertical="center"/>
    </xf>
    <xf borderId="1" fillId="17" fontId="2" numFmtId="172" xfId="0" applyAlignment="1" applyBorder="1" applyFont="1" applyNumberFormat="1">
      <alignment horizontal="right" vertical="center"/>
    </xf>
    <xf borderId="1" fillId="2" fontId="15" numFmtId="170" xfId="0" applyBorder="1" applyFont="1" applyNumberFormat="1"/>
    <xf borderId="1" fillId="2" fontId="43" numFmtId="0" xfId="0" applyBorder="1" applyFont="1"/>
    <xf borderId="0" fillId="6" fontId="3" numFmtId="0" xfId="0" applyAlignment="1" applyFont="1">
      <alignment horizontal="right"/>
    </xf>
    <xf borderId="6" fillId="2" fontId="2" numFmtId="164" xfId="0" applyAlignment="1" applyBorder="1" applyFont="1" applyNumberFormat="1">
      <alignment horizontal="right" vertical="center"/>
    </xf>
    <xf borderId="0" fillId="6" fontId="44" numFmtId="0" xfId="0" applyAlignment="1" applyFont="1">
      <alignment horizontal="right" vertical="top"/>
    </xf>
    <xf borderId="1" fillId="2" fontId="2" numFmtId="164" xfId="0" applyBorder="1" applyFont="1" applyNumberFormat="1"/>
    <xf borderId="1" fillId="2" fontId="45" numFmtId="170" xfId="0" applyBorder="1" applyFont="1" applyNumberFormat="1"/>
    <xf borderId="0" fillId="6" fontId="44" numFmtId="0" xfId="0" applyAlignment="1" applyFont="1">
      <alignment horizontal="right"/>
    </xf>
    <xf borderId="0" fillId="6" fontId="44" numFmtId="0" xfId="0" applyAlignment="1" applyFont="1">
      <alignment horizontal="left"/>
    </xf>
    <xf borderId="17" fillId="2" fontId="44" numFmtId="0" xfId="0" applyAlignment="1" applyBorder="1" applyFont="1">
      <alignment horizontal="right" vertical="top"/>
    </xf>
    <xf borderId="12" fillId="2" fontId="44" numFmtId="0" xfId="0" applyAlignment="1" applyBorder="1" applyFont="1">
      <alignment horizontal="right" vertical="top"/>
    </xf>
    <xf borderId="2" fillId="2" fontId="44" numFmtId="0" xfId="0" applyAlignment="1" applyBorder="1" applyFont="1">
      <alignment horizontal="right"/>
    </xf>
    <xf borderId="6" fillId="2" fontId="44" numFmtId="0" xfId="0" applyAlignment="1" applyBorder="1" applyFont="1">
      <alignment horizontal="right"/>
    </xf>
    <xf borderId="12" fillId="2" fontId="44" numFmtId="0" xfId="0" applyAlignment="1" applyBorder="1" applyFont="1">
      <alignment horizontal="left"/>
    </xf>
    <xf borderId="1" fillId="2" fontId="44" numFmtId="0" xfId="0" applyAlignment="1" applyBorder="1" applyFont="1">
      <alignment horizontal="right"/>
    </xf>
    <xf borderId="2" fillId="2" fontId="2" numFmtId="170" xfId="0" applyAlignment="1" applyBorder="1" applyFont="1" applyNumberFormat="1">
      <alignment horizontal="right" vertical="center"/>
    </xf>
    <xf borderId="16" fillId="2" fontId="2" numFmtId="170" xfId="0" applyAlignment="1" applyBorder="1" applyFont="1" applyNumberFormat="1">
      <alignment horizontal="right" vertical="center"/>
    </xf>
    <xf borderId="22" fillId="2" fontId="2" numFmtId="170" xfId="0" applyAlignment="1" applyBorder="1" applyFont="1" applyNumberFormat="1">
      <alignment horizontal="right" vertical="center"/>
    </xf>
    <xf borderId="6" fillId="2" fontId="2" numFmtId="1" xfId="0" applyAlignment="1" applyBorder="1" applyFont="1" applyNumberFormat="1">
      <alignment horizontal="right" vertical="center"/>
    </xf>
    <xf borderId="2" fillId="2" fontId="2" numFmtId="172" xfId="0" applyAlignment="1" applyBorder="1" applyFont="1" applyNumberFormat="1">
      <alignment horizontal="right" vertical="center"/>
    </xf>
    <xf borderId="14" fillId="2" fontId="2" numFmtId="170" xfId="0" applyAlignment="1" applyBorder="1" applyFont="1" applyNumberFormat="1">
      <alignment horizontal="right" vertical="center"/>
    </xf>
    <xf borderId="2" fillId="2" fontId="2" numFmtId="1" xfId="0" applyAlignment="1" applyBorder="1" applyFont="1" applyNumberFormat="1">
      <alignment horizontal="right" vertical="center"/>
    </xf>
    <xf borderId="22" fillId="2" fontId="2" numFmtId="1" xfId="0" applyAlignment="1" applyBorder="1" applyFont="1" applyNumberFormat="1">
      <alignment horizontal="right" vertical="center"/>
    </xf>
    <xf borderId="22" fillId="2" fontId="2" numFmtId="172" xfId="0" applyAlignment="1" applyBorder="1" applyFont="1" applyNumberFormat="1">
      <alignment horizontal="right" vertical="center"/>
    </xf>
    <xf borderId="1" fillId="2" fontId="2" numFmtId="175" xfId="0" applyAlignment="1" applyBorder="1" applyFont="1" applyNumberFormat="1">
      <alignment horizontal="right" vertical="center"/>
    </xf>
    <xf borderId="1" fillId="2" fontId="2" numFmtId="165" xfId="0" applyAlignment="1" applyBorder="1" applyFont="1" applyNumberFormat="1">
      <alignment horizontal="right" vertical="center"/>
    </xf>
  </cellXfs>
  <cellStyles count="1">
    <cellStyle xfId="0" name="Normal" builtinId="0"/>
  </cellStyles>
  <dxfs count="6">
    <dxf>
      <font/>
      <fill>
        <patternFill patternType="solid">
          <fgColor rgb="FFA8D08D"/>
          <bgColor rgb="FFA8D08D"/>
        </patternFill>
      </fill>
      <border/>
    </dxf>
    <dxf>
      <font/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>
        <color rgb="FFFF0000"/>
      </font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1</xdr:row>
      <xdr:rowOff>0</xdr:rowOff>
    </xdr:from>
    <xdr:ext cx="180975" cy="1809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135"/>
    <pageSetUpPr/>
  </sheetPr>
  <sheetViews>
    <sheetView showGridLines="0" rightToLeft="1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Row="1"/>
  <cols>
    <col customWidth="1" min="1" max="1" width="9.86"/>
    <col customWidth="1" min="2" max="2" width="32.29"/>
    <col customWidth="1" min="3" max="3" width="12.57"/>
    <col customWidth="1" min="4" max="4" width="23.29"/>
    <col customWidth="1" min="5" max="5" width="21.0"/>
    <col customWidth="1" min="6" max="6" width="0.43"/>
    <col customWidth="1" min="7" max="7" width="18.29"/>
    <col customWidth="1" min="8" max="8" width="13.57"/>
    <col customWidth="1" min="9" max="9" width="14.0"/>
    <col customWidth="1" min="10" max="10" width="11.71"/>
    <col customWidth="1" min="11" max="11" width="13.43"/>
    <col customWidth="1" min="12" max="12" width="11.29"/>
    <col customWidth="1" min="13" max="13" width="12.29"/>
    <col customWidth="1" min="14" max="14" width="17.86"/>
    <col customWidth="1" min="15" max="15" width="24.57"/>
    <col customWidth="1" min="17" max="17" width="12.0"/>
    <col customWidth="1" min="18" max="18" width="14.0"/>
    <col customWidth="1" min="19" max="19" width="12.0"/>
    <col customWidth="1" min="20" max="20" width="11.29"/>
    <col customWidth="1" min="21" max="21" width="13.14"/>
    <col customWidth="1" min="22" max="22" width="12.29"/>
    <col customWidth="1" min="23" max="23" width="16.71"/>
    <col customWidth="1" min="24" max="41" width="12.29"/>
  </cols>
  <sheetData>
    <row r="1" ht="8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ht="14.25" customHeight="1">
      <c r="A2" s="2"/>
      <c r="B2" s="4" t="s">
        <v>0</v>
      </c>
      <c r="C2" s="5"/>
      <c r="D2" s="5"/>
      <c r="E2" s="5"/>
      <c r="F2" s="5"/>
      <c r="G2" s="5"/>
      <c r="H2" s="5"/>
      <c r="I2" s="5"/>
      <c r="J2" s="5"/>
      <c r="K2" s="5"/>
      <c r="L2" s="6"/>
      <c r="M2" s="7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ht="14.25" customHeight="1">
      <c r="A3" s="2"/>
      <c r="B3" s="8"/>
      <c r="L3" s="9"/>
      <c r="M3" s="7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ht="18.75" customHeight="1">
      <c r="A4" s="2"/>
      <c r="B4" s="10"/>
      <c r="C4" s="11"/>
      <c r="D4" s="11"/>
      <c r="E4" s="11"/>
      <c r="F4" s="11"/>
      <c r="G4" s="11"/>
      <c r="H4" s="11"/>
      <c r="I4" s="11"/>
      <c r="J4" s="11"/>
      <c r="K4" s="11"/>
      <c r="L4" s="12"/>
      <c r="M4" s="7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ht="13.5" customHeight="1">
      <c r="A5" s="2"/>
      <c r="C5" s="13"/>
      <c r="D5" s="14"/>
      <c r="H5" s="15"/>
      <c r="I5" s="15"/>
      <c r="J5" s="3"/>
      <c r="K5" s="3"/>
      <c r="L5" s="16"/>
      <c r="M5" s="17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ht="12.75" customHeight="1">
      <c r="A6" s="18"/>
      <c r="B6" s="19" t="s">
        <v>1</v>
      </c>
      <c r="C6" s="20"/>
      <c r="P6" s="7"/>
      <c r="Q6" s="2"/>
      <c r="R6" s="2"/>
      <c r="S6" s="2"/>
      <c r="T6" s="2"/>
      <c r="U6" s="2"/>
      <c r="V6" s="21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ht="15.0" customHeight="1">
      <c r="A7" s="18"/>
      <c r="B7" s="12"/>
      <c r="C7" s="22"/>
      <c r="D7" s="14"/>
      <c r="H7" s="23" t="s">
        <v>2</v>
      </c>
      <c r="I7" s="24"/>
      <c r="J7" s="24"/>
      <c r="K7" s="24"/>
      <c r="L7" s="24"/>
      <c r="M7" s="24"/>
      <c r="N7" s="24"/>
      <c r="O7" s="25"/>
      <c r="P7" s="26"/>
      <c r="Q7" s="3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ht="14.25" customHeight="1">
      <c r="A8" s="18"/>
      <c r="B8" s="27"/>
      <c r="C8" s="24"/>
      <c r="D8" s="25"/>
      <c r="F8" s="28"/>
      <c r="H8" s="29" t="s">
        <v>3</v>
      </c>
      <c r="I8" s="29" t="s">
        <v>4</v>
      </c>
      <c r="J8" s="30" t="s">
        <v>5</v>
      </c>
      <c r="K8" s="30" t="s">
        <v>6</v>
      </c>
      <c r="L8" s="31" t="s">
        <v>7</v>
      </c>
      <c r="M8" s="29" t="s">
        <v>8</v>
      </c>
      <c r="N8" s="32" t="s">
        <v>9</v>
      </c>
      <c r="O8" s="29" t="s">
        <v>9</v>
      </c>
      <c r="P8" s="28"/>
      <c r="R8" s="7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ht="14.25" customHeight="1">
      <c r="A9" s="18"/>
      <c r="B9" s="33" t="s">
        <v>10</v>
      </c>
      <c r="C9" s="25"/>
      <c r="D9" s="34">
        <v>1090000.0</v>
      </c>
      <c r="E9" s="35" t="s">
        <v>11</v>
      </c>
      <c r="H9" s="36"/>
      <c r="I9" s="37"/>
      <c r="J9" s="38"/>
      <c r="K9" s="39"/>
      <c r="L9" s="40"/>
      <c r="M9" s="41" t="s">
        <v>12</v>
      </c>
      <c r="N9" s="41" t="s">
        <v>13</v>
      </c>
      <c r="O9" s="41" t="s">
        <v>14</v>
      </c>
      <c r="P9" s="28"/>
      <c r="Q9" s="42"/>
      <c r="R9" s="43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ht="14.25" customHeight="1">
      <c r="A10" s="18"/>
      <c r="B10" s="33" t="s">
        <v>15</v>
      </c>
      <c r="C10" s="25"/>
      <c r="D10" s="44">
        <v>0.75</v>
      </c>
      <c r="E10" s="45"/>
      <c r="G10" s="46"/>
      <c r="H10" s="47" t="s">
        <v>16</v>
      </c>
      <c r="I10" s="48">
        <f>D10</f>
        <v>0.75</v>
      </c>
      <c r="J10" s="49">
        <f>D9*D10</f>
        <v>817500</v>
      </c>
      <c r="K10" s="50">
        <v>30.0</v>
      </c>
      <c r="L10" s="51">
        <v>0.048</v>
      </c>
      <c r="M10" s="52">
        <f t="shared" ref="M10:M11" si="1">IFERROR(PMT(L10/12,K10*12,-J10,0,0),0)</f>
        <v>4289.139272</v>
      </c>
      <c r="N10" s="53">
        <f>J10*L12</f>
        <v>3270</v>
      </c>
      <c r="O10" s="54">
        <f>J10*L12</f>
        <v>3270</v>
      </c>
      <c r="P10" s="28"/>
      <c r="Q10" s="28"/>
      <c r="R10" s="7"/>
      <c r="S10" s="2"/>
      <c r="T10" s="2"/>
      <c r="U10" s="55"/>
      <c r="V10" s="56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ht="14.25" customHeight="1">
      <c r="A11" s="18"/>
      <c r="B11" s="33" t="s">
        <v>17</v>
      </c>
      <c r="C11" s="25"/>
      <c r="D11" s="57">
        <f>D9-J10</f>
        <v>272500</v>
      </c>
      <c r="E11" s="58"/>
      <c r="F11" s="59"/>
      <c r="G11" s="60"/>
      <c r="H11" s="61" t="s">
        <v>18</v>
      </c>
      <c r="I11" s="37">
        <f>J11/$D$49</f>
        <v>0.06822533248</v>
      </c>
      <c r="J11" s="62">
        <f t="shared" ref="J11:J12" si="2">D51</f>
        <v>79285</v>
      </c>
      <c r="K11" s="63">
        <v>12.0</v>
      </c>
      <c r="L11" s="51">
        <v>0.05</v>
      </c>
      <c r="M11" s="52">
        <f t="shared" si="1"/>
        <v>733.2993644</v>
      </c>
      <c r="N11" s="53">
        <f>IFERROR(PMT(L11/12,K11*12,-J11,0,0),0)</f>
        <v>733.2993644</v>
      </c>
      <c r="O11" s="54">
        <f>IF(O17&lt;&gt;"",IPMT($L$11/12,O17,$K$11*12,-$J$11,0,0),"")</f>
        <v>330.3541667</v>
      </c>
      <c r="P11" s="28"/>
      <c r="Q11" s="28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ht="14.25" customHeight="1">
      <c r="A12" s="64"/>
      <c r="B12" s="65" t="s">
        <v>19</v>
      </c>
      <c r="C12" s="25"/>
      <c r="D12" s="66">
        <v>265320.0</v>
      </c>
      <c r="E12" s="58"/>
      <c r="H12" s="67" t="s">
        <v>20</v>
      </c>
      <c r="I12" s="37"/>
      <c r="J12" s="62" t="str">
        <f t="shared" si="2"/>
        <v/>
      </c>
      <c r="K12" s="68"/>
      <c r="L12" s="37">
        <f>L10/12</f>
        <v>0.004</v>
      </c>
      <c r="M12" s="69">
        <f>SUM(M10:M11)</f>
        <v>5022.438636</v>
      </c>
      <c r="N12" s="70">
        <f>N10+M11</f>
        <v>4003.299364</v>
      </c>
      <c r="O12" s="71">
        <f>O10+O11</f>
        <v>3600.354167</v>
      </c>
      <c r="P12" s="72" t="s">
        <v>21</v>
      </c>
      <c r="Q12" s="73" t="s">
        <v>22</v>
      </c>
      <c r="R12" s="7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ht="14.25" customHeight="1">
      <c r="A13" s="74" t="s">
        <v>23</v>
      </c>
      <c r="E13" s="60"/>
      <c r="G13" s="75"/>
      <c r="H13" s="76"/>
      <c r="I13" s="76"/>
      <c r="J13" s="62"/>
      <c r="K13" s="77" t="s">
        <v>24</v>
      </c>
      <c r="L13" s="78"/>
      <c r="M13" s="52">
        <f>D73-M12</f>
        <v>-22.43863614</v>
      </c>
      <c r="N13" s="53">
        <f>D73-N12</f>
        <v>996.7006356</v>
      </c>
      <c r="O13" s="54">
        <f>D73-O12</f>
        <v>1399.645833</v>
      </c>
      <c r="Q13" s="28"/>
      <c r="R13" s="7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ht="14.25" customHeight="1">
      <c r="A14" s="79"/>
      <c r="E14" s="58"/>
      <c r="F14" s="80"/>
      <c r="N14" s="81" t="s">
        <v>25</v>
      </c>
      <c r="O14" s="82"/>
      <c r="P14" s="82"/>
      <c r="Q14" s="80"/>
      <c r="R14" s="26"/>
      <c r="S14" s="3"/>
      <c r="T14" s="3"/>
      <c r="U14" s="3"/>
      <c r="V14" s="3"/>
      <c r="W14" s="3"/>
      <c r="X14" s="3"/>
      <c r="Y14" s="3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ht="20.25" customHeight="1">
      <c r="A15" s="2"/>
      <c r="B15" s="83" t="s">
        <v>26</v>
      </c>
      <c r="C15" s="84"/>
      <c r="E15" s="58"/>
      <c r="F15" s="80"/>
      <c r="H15" s="85" t="s">
        <v>27</v>
      </c>
      <c r="I15" s="24"/>
      <c r="J15" s="24"/>
      <c r="K15" s="24"/>
      <c r="L15" s="24"/>
      <c r="M15" s="24"/>
      <c r="N15" s="25"/>
      <c r="O15" s="86" t="s">
        <v>28</v>
      </c>
      <c r="P15" s="24"/>
      <c r="Q15" s="24"/>
      <c r="R15" s="24"/>
      <c r="S15" s="24"/>
      <c r="T15" s="24"/>
      <c r="U15" s="25"/>
      <c r="V15" s="87"/>
      <c r="Z15" s="7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ht="14.25" customHeight="1">
      <c r="A16" s="88"/>
      <c r="B16" s="89" t="s">
        <v>29</v>
      </c>
      <c r="C16" s="24"/>
      <c r="D16" s="25"/>
      <c r="F16" s="90"/>
      <c r="H16" s="91" t="s">
        <v>30</v>
      </c>
      <c r="I16" s="92" t="s">
        <v>31</v>
      </c>
      <c r="J16" s="92" t="s">
        <v>32</v>
      </c>
      <c r="K16" s="92" t="s">
        <v>33</v>
      </c>
      <c r="L16" s="92" t="s">
        <v>34</v>
      </c>
      <c r="M16" s="92" t="s">
        <v>35</v>
      </c>
      <c r="N16" s="89" t="s">
        <v>36</v>
      </c>
      <c r="O16" s="92" t="s">
        <v>30</v>
      </c>
      <c r="P16" s="92" t="s">
        <v>31</v>
      </c>
      <c r="Q16" s="92" t="s">
        <v>32</v>
      </c>
      <c r="R16" s="92" t="s">
        <v>33</v>
      </c>
      <c r="S16" s="92" t="s">
        <v>34</v>
      </c>
      <c r="T16" s="92" t="s">
        <v>35</v>
      </c>
      <c r="U16" s="92" t="s">
        <v>36</v>
      </c>
      <c r="V16" s="93"/>
      <c r="X16" s="94"/>
      <c r="Z16" s="7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ht="14.25" customHeight="1" outlineLevel="1">
      <c r="A17" s="88"/>
      <c r="B17" s="95" t="s">
        <v>3</v>
      </c>
      <c r="C17" s="95" t="s">
        <v>37</v>
      </c>
      <c r="D17" s="95" t="s">
        <v>38</v>
      </c>
      <c r="E17" s="90"/>
      <c r="F17" s="90"/>
      <c r="H17" s="96">
        <f>IF(K10=0,"",1)</f>
        <v>1</v>
      </c>
      <c r="I17" s="97">
        <f>IF(H17&lt;&gt;"",J17+K17,"")</f>
        <v>4289.139272</v>
      </c>
      <c r="J17" s="97">
        <f t="shared" ref="J17:J18" si="3">IF(H17&lt;&gt;"",PPMT($L$10/12,H17,$K$10*12,-$J$10,0,0),"")</f>
        <v>1019.139272</v>
      </c>
      <c r="K17" s="97">
        <f t="shared" ref="K17:K384" si="4">IF(H17&lt;&gt;"",IPMT($L$10/12,H17,$K$10*12,-$J$10,0,0),"")</f>
        <v>3270</v>
      </c>
      <c r="L17" s="97">
        <f>IF(H17&lt;&gt;"",$J$10-SUM($J$17:J17),"")</f>
        <v>816480.8607</v>
      </c>
      <c r="M17" s="97">
        <f>IF(H17&lt;&gt;"",SUM($J$17:J17),"")</f>
        <v>1019.139272</v>
      </c>
      <c r="N17" s="97">
        <f t="shared" ref="N17:N376" si="5">IF(H17&lt;&gt;"",SUM($K$17:K17),"")</f>
        <v>3270</v>
      </c>
      <c r="O17" s="98">
        <f>IF(K11=0,"",1)</f>
        <v>1</v>
      </c>
      <c r="P17" s="99">
        <f t="shared" ref="P17:P376" si="6">IF(O17&lt;&gt;"",Q17+R17,"")</f>
        <v>733.2993644</v>
      </c>
      <c r="Q17" s="99">
        <f t="shared" ref="Q17:Q376" si="7">IF(O17&lt;&gt;"",PPMT($L$11/12,O17,$K$11*12,-$J$11,0,0),"")</f>
        <v>402.9451977</v>
      </c>
      <c r="R17" s="99">
        <f t="shared" ref="R17:R376" si="8">IF(O17&lt;&gt;"",IPMT($L$11/12,O17,$K$11*12,-$J$11,0,0),"")</f>
        <v>330.3541667</v>
      </c>
      <c r="S17" s="99">
        <f t="shared" ref="S17:S376" si="9">IF(O17&lt;&gt;"",$J$11-SUM($Q$17:Q17),"")</f>
        <v>78882.0548</v>
      </c>
      <c r="T17" s="99">
        <f t="shared" ref="T17:T376" si="10">IF(O17&lt;&gt;"",SUM($Q$17:Q17),"")</f>
        <v>402.9451977</v>
      </c>
      <c r="U17" s="100">
        <f t="shared" ref="U17:U376" si="11">IF(O17&lt;&gt;"",SUM($R$17:R17),"")</f>
        <v>330.3541667</v>
      </c>
      <c r="Z17" s="7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ht="14.25" customHeight="1" outlineLevel="1">
      <c r="A18" s="88"/>
      <c r="B18" s="101" t="s">
        <v>39</v>
      </c>
      <c r="C18" s="102">
        <v>0.0</v>
      </c>
      <c r="D18" s="103">
        <f>D9*C18</f>
        <v>0</v>
      </c>
      <c r="E18" s="90"/>
      <c r="F18" s="90"/>
      <c r="H18" s="96">
        <f t="shared" ref="H18:H35" si="12">IF(H17&gt;=$K$10*12,"",H17+1)</f>
        <v>2</v>
      </c>
      <c r="I18" s="97">
        <f t="shared" ref="I18:I19" si="13">IF(H18&lt;&gt;"",J19+K18,"")</f>
        <v>4289.139272</v>
      </c>
      <c r="J18" s="97">
        <f t="shared" si="3"/>
        <v>1023.215829</v>
      </c>
      <c r="K18" s="97">
        <f t="shared" si="4"/>
        <v>3265.923443</v>
      </c>
      <c r="L18" s="97">
        <f>IF(H18&lt;&gt;"",$J$10-SUM($J$17:J19),"")</f>
        <v>814434.4291</v>
      </c>
      <c r="M18" s="97">
        <f>IF(H18&lt;&gt;"",SUM($J$17:J19),"")</f>
        <v>3065.570929</v>
      </c>
      <c r="N18" s="97">
        <f t="shared" si="5"/>
        <v>6535.923443</v>
      </c>
      <c r="O18" s="104">
        <f t="shared" ref="O18:O376" si="14">IF(O17&gt;=$K$11*12,"",O17+1)</f>
        <v>2</v>
      </c>
      <c r="P18" s="105">
        <f t="shared" si="6"/>
        <v>733.2993644</v>
      </c>
      <c r="Q18" s="105">
        <f t="shared" si="7"/>
        <v>404.6241361</v>
      </c>
      <c r="R18" s="105">
        <f t="shared" si="8"/>
        <v>328.6752283</v>
      </c>
      <c r="S18" s="105">
        <f t="shared" si="9"/>
        <v>78477.43067</v>
      </c>
      <c r="T18" s="105">
        <f t="shared" si="10"/>
        <v>807.5693338</v>
      </c>
      <c r="U18" s="106">
        <f t="shared" si="11"/>
        <v>659.029395</v>
      </c>
      <c r="V18" s="107"/>
      <c r="X18" s="108"/>
      <c r="Z18" s="7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ht="14.25" customHeight="1" outlineLevel="1">
      <c r="A19" s="88"/>
      <c r="B19" s="101" t="s">
        <v>40</v>
      </c>
      <c r="C19" s="109">
        <v>0.0236</v>
      </c>
      <c r="D19" s="103">
        <f>SUM(D9*C19)</f>
        <v>25724</v>
      </c>
      <c r="E19" s="110"/>
      <c r="F19" s="90"/>
      <c r="H19" s="96">
        <f t="shared" si="12"/>
        <v>3</v>
      </c>
      <c r="I19" s="97">
        <f t="shared" si="13"/>
        <v>4289.139272</v>
      </c>
      <c r="J19" s="97">
        <f t="shared" ref="J19:J20" si="15">IF(H18&lt;&gt;"",PPMT($L$10/12,H18,$K$10*12,-$J$10,0,0),"")</f>
        <v>1023.215829</v>
      </c>
      <c r="K19" s="97">
        <f t="shared" si="4"/>
        <v>3261.83058</v>
      </c>
      <c r="L19" s="97">
        <f t="shared" ref="L19:L377" si="16">IF(H19&lt;&gt;"",$J$10-SUM($J$17:J19),"")</f>
        <v>814434.4291</v>
      </c>
      <c r="M19" s="97">
        <f t="shared" ref="M19:M376" si="17">IF(H19&lt;&gt;"",SUM($J$17:J19),"")</f>
        <v>3065.570929</v>
      </c>
      <c r="N19" s="97">
        <f t="shared" si="5"/>
        <v>9797.754023</v>
      </c>
      <c r="O19" s="104">
        <f t="shared" si="14"/>
        <v>3</v>
      </c>
      <c r="P19" s="105">
        <f t="shared" si="6"/>
        <v>733.2993644</v>
      </c>
      <c r="Q19" s="105">
        <f t="shared" si="7"/>
        <v>406.31007</v>
      </c>
      <c r="R19" s="105">
        <f t="shared" si="8"/>
        <v>326.9892944</v>
      </c>
      <c r="S19" s="105">
        <f t="shared" si="9"/>
        <v>78071.1206</v>
      </c>
      <c r="T19" s="105">
        <f t="shared" si="10"/>
        <v>1213.879404</v>
      </c>
      <c r="U19" s="106">
        <f t="shared" si="11"/>
        <v>986.0186895</v>
      </c>
      <c r="Z19" s="7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ht="14.25" customHeight="1" outlineLevel="1">
      <c r="A20" s="88"/>
      <c r="B20" s="101" t="s">
        <v>41</v>
      </c>
      <c r="C20" s="109">
        <v>0.0059</v>
      </c>
      <c r="D20" s="103">
        <f>SUM(D9*C20)</f>
        <v>6431</v>
      </c>
      <c r="E20" s="90"/>
      <c r="F20" s="90"/>
      <c r="H20" s="96">
        <f t="shared" si="12"/>
        <v>4</v>
      </c>
      <c r="I20" s="97">
        <f t="shared" ref="I20:I384" si="18">IF(H20&lt;&gt;"",J20+K20,"")</f>
        <v>4285.030037</v>
      </c>
      <c r="J20" s="97">
        <f t="shared" si="15"/>
        <v>1027.308692</v>
      </c>
      <c r="K20" s="97">
        <f t="shared" si="4"/>
        <v>3257.721345</v>
      </c>
      <c r="L20" s="97">
        <f t="shared" si="16"/>
        <v>813407.1204</v>
      </c>
      <c r="M20" s="97">
        <f t="shared" si="17"/>
        <v>4092.879622</v>
      </c>
      <c r="N20" s="97">
        <f t="shared" si="5"/>
        <v>13055.47537</v>
      </c>
      <c r="O20" s="104">
        <f t="shared" si="14"/>
        <v>4</v>
      </c>
      <c r="P20" s="105">
        <f t="shared" si="6"/>
        <v>733.2993644</v>
      </c>
      <c r="Q20" s="105">
        <f t="shared" si="7"/>
        <v>408.0030286</v>
      </c>
      <c r="R20" s="105">
        <f t="shared" si="8"/>
        <v>325.2963358</v>
      </c>
      <c r="S20" s="105">
        <f t="shared" si="9"/>
        <v>77663.11757</v>
      </c>
      <c r="T20" s="105">
        <f t="shared" si="10"/>
        <v>1621.882432</v>
      </c>
      <c r="U20" s="106">
        <f t="shared" si="11"/>
        <v>1311.315025</v>
      </c>
      <c r="V20" s="111"/>
      <c r="X20" s="112"/>
      <c r="Z20" s="7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ht="14.25" customHeight="1" outlineLevel="1">
      <c r="A21" s="88"/>
      <c r="B21" s="101" t="s">
        <v>42</v>
      </c>
      <c r="C21" s="113"/>
      <c r="D21" s="103">
        <v>1000.0</v>
      </c>
      <c r="E21" s="90"/>
      <c r="F21" s="90"/>
      <c r="H21" s="96">
        <f t="shared" si="12"/>
        <v>5</v>
      </c>
      <c r="I21" s="97">
        <f t="shared" si="18"/>
        <v>4289.139272</v>
      </c>
      <c r="J21" s="97">
        <f t="shared" ref="J21:J384" si="19">IF(H21&lt;&gt;"",PPMT($L$10/12,H21,$K$10*12,-$J$10,0,0),"")</f>
        <v>1035.543599</v>
      </c>
      <c r="K21" s="97">
        <f t="shared" si="4"/>
        <v>3253.595673</v>
      </c>
      <c r="L21" s="97">
        <f t="shared" si="16"/>
        <v>812371.5768</v>
      </c>
      <c r="M21" s="97">
        <f t="shared" si="17"/>
        <v>5128.42322</v>
      </c>
      <c r="N21" s="97">
        <f t="shared" si="5"/>
        <v>16309.07104</v>
      </c>
      <c r="O21" s="104">
        <f t="shared" si="14"/>
        <v>5</v>
      </c>
      <c r="P21" s="105">
        <f t="shared" si="6"/>
        <v>733.2993644</v>
      </c>
      <c r="Q21" s="105">
        <f t="shared" si="7"/>
        <v>409.7030412</v>
      </c>
      <c r="R21" s="105">
        <f t="shared" si="8"/>
        <v>323.5963232</v>
      </c>
      <c r="S21" s="105">
        <f t="shared" si="9"/>
        <v>77253.41453</v>
      </c>
      <c r="T21" s="105">
        <f t="shared" si="10"/>
        <v>2031.585474</v>
      </c>
      <c r="U21" s="106">
        <f t="shared" si="11"/>
        <v>1634.911348</v>
      </c>
      <c r="Z21" s="7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ht="14.25" customHeight="1" outlineLevel="1">
      <c r="A22" s="88"/>
      <c r="B22" s="101" t="s">
        <v>43</v>
      </c>
      <c r="C22" s="113"/>
      <c r="D22" s="114" t="s">
        <v>44</v>
      </c>
      <c r="E22" s="90"/>
      <c r="F22" s="90"/>
      <c r="H22" s="96">
        <f t="shared" si="12"/>
        <v>6</v>
      </c>
      <c r="I22" s="97">
        <f t="shared" si="18"/>
        <v>4289.139272</v>
      </c>
      <c r="J22" s="97">
        <f t="shared" si="19"/>
        <v>1039.685773</v>
      </c>
      <c r="K22" s="97">
        <f t="shared" si="4"/>
        <v>3249.453499</v>
      </c>
      <c r="L22" s="97">
        <f t="shared" si="16"/>
        <v>811331.891</v>
      </c>
      <c r="M22" s="97">
        <f t="shared" si="17"/>
        <v>6168.108993</v>
      </c>
      <c r="N22" s="97">
        <f t="shared" si="5"/>
        <v>19558.52454</v>
      </c>
      <c r="O22" s="104">
        <f t="shared" si="14"/>
        <v>6</v>
      </c>
      <c r="P22" s="105">
        <f t="shared" si="6"/>
        <v>733.2993644</v>
      </c>
      <c r="Q22" s="105">
        <f t="shared" si="7"/>
        <v>411.4101372</v>
      </c>
      <c r="R22" s="105">
        <f t="shared" si="8"/>
        <v>321.8892272</v>
      </c>
      <c r="S22" s="105">
        <f t="shared" si="9"/>
        <v>76842.00439</v>
      </c>
      <c r="T22" s="105">
        <f t="shared" si="10"/>
        <v>2442.995611</v>
      </c>
      <c r="U22" s="106">
        <f t="shared" si="11"/>
        <v>1956.800576</v>
      </c>
      <c r="V22" s="111"/>
      <c r="X22" s="115"/>
      <c r="Z22" s="7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ht="14.25" customHeight="1" outlineLevel="1">
      <c r="A23" s="88"/>
      <c r="B23" s="101" t="s">
        <v>45</v>
      </c>
      <c r="D23" s="103">
        <v>50.0</v>
      </c>
      <c r="E23" s="90"/>
      <c r="F23" s="90"/>
      <c r="H23" s="96">
        <f t="shared" si="12"/>
        <v>7</v>
      </c>
      <c r="I23" s="97">
        <f t="shared" si="18"/>
        <v>4289.139272</v>
      </c>
      <c r="J23" s="97">
        <f t="shared" si="19"/>
        <v>1043.844516</v>
      </c>
      <c r="K23" s="97">
        <f t="shared" si="4"/>
        <v>3245.294756</v>
      </c>
      <c r="L23" s="97">
        <f t="shared" si="16"/>
        <v>810288.0465</v>
      </c>
      <c r="M23" s="97">
        <f t="shared" si="17"/>
        <v>7211.953509</v>
      </c>
      <c r="N23" s="97">
        <f t="shared" si="5"/>
        <v>22803.81929</v>
      </c>
      <c r="O23" s="104">
        <f t="shared" si="14"/>
        <v>7</v>
      </c>
      <c r="P23" s="105">
        <f t="shared" si="6"/>
        <v>733.2993644</v>
      </c>
      <c r="Q23" s="105">
        <f t="shared" si="7"/>
        <v>413.1243461</v>
      </c>
      <c r="R23" s="105">
        <f t="shared" si="8"/>
        <v>320.1750183</v>
      </c>
      <c r="S23" s="105">
        <f t="shared" si="9"/>
        <v>76428.88004</v>
      </c>
      <c r="T23" s="105">
        <f t="shared" si="10"/>
        <v>2856.119957</v>
      </c>
      <c r="U23" s="116">
        <f t="shared" si="11"/>
        <v>2276.975594</v>
      </c>
      <c r="Z23" s="7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ht="14.25" customHeight="1" outlineLevel="1">
      <c r="A24" s="88"/>
      <c r="B24" s="101" t="s">
        <v>46</v>
      </c>
      <c r="C24" s="113"/>
      <c r="D24" s="117">
        <v>5900.0</v>
      </c>
      <c r="E24" s="60"/>
      <c r="F24" s="90"/>
      <c r="H24" s="96">
        <f t="shared" si="12"/>
        <v>8</v>
      </c>
      <c r="I24" s="97">
        <f t="shared" si="18"/>
        <v>4289.139272</v>
      </c>
      <c r="J24" s="97">
        <f t="shared" si="19"/>
        <v>1048.019894</v>
      </c>
      <c r="K24" s="97">
        <f t="shared" si="4"/>
        <v>3241.119378</v>
      </c>
      <c r="L24" s="97">
        <f t="shared" si="16"/>
        <v>809240.0266</v>
      </c>
      <c r="M24" s="97">
        <f t="shared" si="17"/>
        <v>8259.973403</v>
      </c>
      <c r="N24" s="97">
        <f t="shared" si="5"/>
        <v>26044.93867</v>
      </c>
      <c r="O24" s="104">
        <f t="shared" si="14"/>
        <v>8</v>
      </c>
      <c r="P24" s="105">
        <f t="shared" si="6"/>
        <v>733.2993644</v>
      </c>
      <c r="Q24" s="105">
        <f t="shared" si="7"/>
        <v>414.8456976</v>
      </c>
      <c r="R24" s="105">
        <f t="shared" si="8"/>
        <v>318.4536668</v>
      </c>
      <c r="S24" s="105">
        <f t="shared" si="9"/>
        <v>76014.03435</v>
      </c>
      <c r="T24" s="106">
        <f t="shared" si="10"/>
        <v>3270.965654</v>
      </c>
      <c r="U24" s="118">
        <f t="shared" si="11"/>
        <v>2595.429261</v>
      </c>
      <c r="V24" s="28"/>
      <c r="Z24" s="7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ht="14.25" customHeight="1" outlineLevel="1">
      <c r="A25" s="88"/>
      <c r="B25" s="101" t="s">
        <v>47</v>
      </c>
      <c r="C25" s="119"/>
      <c r="D25" s="117">
        <v>29500.0</v>
      </c>
      <c r="E25" s="90"/>
      <c r="F25" s="90"/>
      <c r="H25" s="96">
        <f t="shared" si="12"/>
        <v>9</v>
      </c>
      <c r="I25" s="97">
        <f t="shared" si="18"/>
        <v>4289.139272</v>
      </c>
      <c r="J25" s="97">
        <f t="shared" si="19"/>
        <v>1052.211974</v>
      </c>
      <c r="K25" s="97">
        <f t="shared" si="4"/>
        <v>3236.927298</v>
      </c>
      <c r="L25" s="97">
        <f t="shared" si="16"/>
        <v>808187.8146</v>
      </c>
      <c r="M25" s="97">
        <f t="shared" si="17"/>
        <v>9312.185377</v>
      </c>
      <c r="N25" s="97">
        <f t="shared" si="5"/>
        <v>29281.86597</v>
      </c>
      <c r="O25" s="104">
        <f t="shared" si="14"/>
        <v>9</v>
      </c>
      <c r="P25" s="105">
        <f t="shared" si="6"/>
        <v>733.2993644</v>
      </c>
      <c r="Q25" s="105">
        <f t="shared" si="7"/>
        <v>416.5742213</v>
      </c>
      <c r="R25" s="105">
        <f t="shared" si="8"/>
        <v>316.7251431</v>
      </c>
      <c r="S25" s="105">
        <f t="shared" si="9"/>
        <v>75597.46012</v>
      </c>
      <c r="T25" s="106">
        <f t="shared" si="10"/>
        <v>3687.539876</v>
      </c>
      <c r="U25" s="118">
        <f t="shared" si="11"/>
        <v>2912.154404</v>
      </c>
      <c r="Z25" s="7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ht="13.5" customHeight="1" outlineLevel="1">
      <c r="A26" s="88"/>
      <c r="B26" s="101" t="s">
        <v>48</v>
      </c>
      <c r="C26" s="119"/>
      <c r="D26" s="117">
        <v>3500.0</v>
      </c>
      <c r="E26" s="120"/>
      <c r="F26" s="90"/>
      <c r="H26" s="96">
        <f t="shared" si="12"/>
        <v>10</v>
      </c>
      <c r="I26" s="97">
        <f t="shared" si="18"/>
        <v>4289.139272</v>
      </c>
      <c r="J26" s="97">
        <f t="shared" si="19"/>
        <v>1056.420822</v>
      </c>
      <c r="K26" s="97">
        <f t="shared" si="4"/>
        <v>3232.71845</v>
      </c>
      <c r="L26" s="97">
        <f t="shared" si="16"/>
        <v>807131.3938</v>
      </c>
      <c r="M26" s="97">
        <f t="shared" si="17"/>
        <v>10368.6062</v>
      </c>
      <c r="N26" s="97">
        <f t="shared" si="5"/>
        <v>32514.58442</v>
      </c>
      <c r="O26" s="104">
        <f t="shared" si="14"/>
        <v>10</v>
      </c>
      <c r="P26" s="105">
        <f t="shared" si="6"/>
        <v>733.2993644</v>
      </c>
      <c r="Q26" s="105">
        <f t="shared" si="7"/>
        <v>418.3099472</v>
      </c>
      <c r="R26" s="105">
        <f t="shared" si="8"/>
        <v>314.9894172</v>
      </c>
      <c r="S26" s="105">
        <f t="shared" si="9"/>
        <v>75179.15018</v>
      </c>
      <c r="T26" s="106">
        <f t="shared" si="10"/>
        <v>4105.849823</v>
      </c>
      <c r="U26" s="118">
        <f t="shared" si="11"/>
        <v>3227.143821</v>
      </c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ht="14.25" customHeight="1" outlineLevel="1">
      <c r="A27" s="88"/>
      <c r="B27" s="101" t="s">
        <v>49</v>
      </c>
      <c r="C27" s="119"/>
      <c r="D27" s="114" t="s">
        <v>50</v>
      </c>
      <c r="E27" s="120"/>
      <c r="F27" s="90"/>
      <c r="H27" s="96">
        <f t="shared" si="12"/>
        <v>11</v>
      </c>
      <c r="I27" s="97">
        <f t="shared" si="18"/>
        <v>4289.139272</v>
      </c>
      <c r="J27" s="97">
        <f t="shared" si="19"/>
        <v>1060.646505</v>
      </c>
      <c r="K27" s="97">
        <f t="shared" si="4"/>
        <v>3228.492767</v>
      </c>
      <c r="L27" s="97">
        <f t="shared" si="16"/>
        <v>806070.7473</v>
      </c>
      <c r="M27" s="97">
        <f t="shared" si="17"/>
        <v>11429.2527</v>
      </c>
      <c r="N27" s="97">
        <f t="shared" si="5"/>
        <v>35743.07719</v>
      </c>
      <c r="O27" s="104">
        <f t="shared" si="14"/>
        <v>11</v>
      </c>
      <c r="P27" s="105">
        <f t="shared" si="6"/>
        <v>733.2993644</v>
      </c>
      <c r="Q27" s="105">
        <f t="shared" si="7"/>
        <v>420.0529053</v>
      </c>
      <c r="R27" s="105">
        <f t="shared" si="8"/>
        <v>313.2464591</v>
      </c>
      <c r="S27" s="105">
        <f t="shared" si="9"/>
        <v>74759.09727</v>
      </c>
      <c r="T27" s="106">
        <f t="shared" si="10"/>
        <v>4525.902728</v>
      </c>
      <c r="U27" s="118">
        <f t="shared" si="11"/>
        <v>3540.39028</v>
      </c>
      <c r="Z27" s="7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ht="14.25" customHeight="1" outlineLevel="1">
      <c r="A28" s="88"/>
      <c r="B28" s="121" t="s">
        <v>51</v>
      </c>
      <c r="C28" s="119"/>
      <c r="D28" s="114" t="s">
        <v>50</v>
      </c>
      <c r="E28" s="120"/>
      <c r="F28" s="90"/>
      <c r="H28" s="96">
        <f t="shared" si="12"/>
        <v>12</v>
      </c>
      <c r="I28" s="97">
        <f t="shared" si="18"/>
        <v>4289.139272</v>
      </c>
      <c r="J28" s="97">
        <f t="shared" si="19"/>
        <v>1064.889091</v>
      </c>
      <c r="K28" s="97">
        <f t="shared" si="4"/>
        <v>3224.250181</v>
      </c>
      <c r="L28" s="97">
        <f t="shared" si="16"/>
        <v>805005.8582</v>
      </c>
      <c r="M28" s="97">
        <f t="shared" si="17"/>
        <v>12494.14179</v>
      </c>
      <c r="N28" s="97">
        <f t="shared" si="5"/>
        <v>38967.32737</v>
      </c>
      <c r="O28" s="104">
        <f t="shared" si="14"/>
        <v>12</v>
      </c>
      <c r="P28" s="105">
        <f t="shared" si="6"/>
        <v>733.2993644</v>
      </c>
      <c r="Q28" s="105">
        <f t="shared" si="7"/>
        <v>421.8031258</v>
      </c>
      <c r="R28" s="105">
        <f t="shared" si="8"/>
        <v>311.4962386</v>
      </c>
      <c r="S28" s="105">
        <f t="shared" si="9"/>
        <v>74337.29415</v>
      </c>
      <c r="T28" s="106">
        <f t="shared" si="10"/>
        <v>4947.705854</v>
      </c>
      <c r="U28" s="118">
        <f t="shared" si="11"/>
        <v>3851.886519</v>
      </c>
      <c r="Z28" s="7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ht="14.25" customHeight="1" outlineLevel="1">
      <c r="A29" s="88"/>
      <c r="B29" s="101" t="s">
        <v>52</v>
      </c>
      <c r="C29" s="119"/>
      <c r="D29" s="114" t="s">
        <v>50</v>
      </c>
      <c r="E29" s="122"/>
      <c r="F29" s="90"/>
      <c r="G29" s="123"/>
      <c r="H29" s="96">
        <f t="shared" si="12"/>
        <v>13</v>
      </c>
      <c r="I29" s="97">
        <f t="shared" si="18"/>
        <v>4289.139272</v>
      </c>
      <c r="J29" s="97">
        <f t="shared" si="19"/>
        <v>1069.148647</v>
      </c>
      <c r="K29" s="97">
        <f t="shared" si="4"/>
        <v>3219.990624</v>
      </c>
      <c r="L29" s="97">
        <f t="shared" si="16"/>
        <v>803936.7096</v>
      </c>
      <c r="M29" s="97">
        <f t="shared" si="17"/>
        <v>13563.29044</v>
      </c>
      <c r="N29" s="97">
        <f t="shared" si="5"/>
        <v>42187.31799</v>
      </c>
      <c r="O29" s="104">
        <f t="shared" si="14"/>
        <v>13</v>
      </c>
      <c r="P29" s="105">
        <f t="shared" si="6"/>
        <v>733.2993644</v>
      </c>
      <c r="Q29" s="105">
        <f t="shared" si="7"/>
        <v>423.5606388</v>
      </c>
      <c r="R29" s="105">
        <f t="shared" si="8"/>
        <v>309.7387256</v>
      </c>
      <c r="S29" s="105">
        <f t="shared" si="9"/>
        <v>73913.73351</v>
      </c>
      <c r="T29" s="106">
        <f t="shared" si="10"/>
        <v>5371.266493</v>
      </c>
      <c r="U29" s="118">
        <f t="shared" si="11"/>
        <v>4161.625244</v>
      </c>
      <c r="Z29" s="7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ht="14.25" customHeight="1" outlineLevel="1">
      <c r="A30" s="88"/>
      <c r="B30" s="101" t="s">
        <v>53</v>
      </c>
      <c r="C30" s="119"/>
      <c r="D30" s="124">
        <v>0.0</v>
      </c>
      <c r="E30" s="122"/>
      <c r="F30" s="90"/>
      <c r="G30" s="125"/>
      <c r="H30" s="96">
        <f t="shared" si="12"/>
        <v>14</v>
      </c>
      <c r="I30" s="97">
        <f t="shared" si="18"/>
        <v>4289.139272</v>
      </c>
      <c r="J30" s="97">
        <f t="shared" si="19"/>
        <v>1073.425242</v>
      </c>
      <c r="K30" s="97">
        <f t="shared" si="4"/>
        <v>3215.71403</v>
      </c>
      <c r="L30" s="97">
        <f t="shared" si="16"/>
        <v>802863.2843</v>
      </c>
      <c r="M30" s="97">
        <f t="shared" si="17"/>
        <v>14636.71568</v>
      </c>
      <c r="N30" s="97">
        <f t="shared" si="5"/>
        <v>45403.03202</v>
      </c>
      <c r="O30" s="104">
        <f t="shared" si="14"/>
        <v>14</v>
      </c>
      <c r="P30" s="105">
        <f t="shared" si="6"/>
        <v>733.2993644</v>
      </c>
      <c r="Q30" s="105">
        <f t="shared" si="7"/>
        <v>425.3254748</v>
      </c>
      <c r="R30" s="105">
        <f t="shared" si="8"/>
        <v>307.9738896</v>
      </c>
      <c r="S30" s="105">
        <f t="shared" si="9"/>
        <v>73488.40803</v>
      </c>
      <c r="T30" s="105">
        <f t="shared" si="10"/>
        <v>5796.591968</v>
      </c>
      <c r="U30" s="99">
        <f t="shared" si="11"/>
        <v>4469.599134</v>
      </c>
      <c r="V30" s="15"/>
      <c r="W30" s="15"/>
      <c r="X30" s="15"/>
      <c r="Y30" s="15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ht="14.25" customHeight="1">
      <c r="A31" s="88"/>
      <c r="B31" s="126" t="s">
        <v>54</v>
      </c>
      <c r="C31" s="127"/>
      <c r="D31" s="128">
        <f>SUM(D18:D30)</f>
        <v>72105</v>
      </c>
      <c r="E31" s="122"/>
      <c r="H31" s="96">
        <f t="shared" si="12"/>
        <v>15</v>
      </c>
      <c r="I31" s="97">
        <f t="shared" si="18"/>
        <v>4289.139272</v>
      </c>
      <c r="J31" s="97">
        <f t="shared" si="19"/>
        <v>1077.718943</v>
      </c>
      <c r="K31" s="97">
        <f t="shared" si="4"/>
        <v>3211.420329</v>
      </c>
      <c r="L31" s="97">
        <f t="shared" si="16"/>
        <v>801785.5654</v>
      </c>
      <c r="M31" s="97">
        <f t="shared" si="17"/>
        <v>15714.43463</v>
      </c>
      <c r="N31" s="97">
        <f t="shared" si="5"/>
        <v>48614.45235</v>
      </c>
      <c r="O31" s="104">
        <f t="shared" si="14"/>
        <v>15</v>
      </c>
      <c r="P31" s="105">
        <f t="shared" si="6"/>
        <v>733.2993644</v>
      </c>
      <c r="Q31" s="105">
        <f t="shared" si="7"/>
        <v>427.0976643</v>
      </c>
      <c r="R31" s="105">
        <f t="shared" si="8"/>
        <v>306.2017001</v>
      </c>
      <c r="S31" s="105">
        <f t="shared" si="9"/>
        <v>73061.31037</v>
      </c>
      <c r="T31" s="105">
        <f t="shared" si="10"/>
        <v>6223.689632</v>
      </c>
      <c r="U31" s="105">
        <f t="shared" si="11"/>
        <v>4775.800834</v>
      </c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ht="14.25" customHeight="1">
      <c r="A32" s="125"/>
      <c r="B32" s="129"/>
      <c r="G32" s="75"/>
      <c r="H32" s="96">
        <f t="shared" si="12"/>
        <v>16</v>
      </c>
      <c r="I32" s="97">
        <f t="shared" si="18"/>
        <v>4289.139272</v>
      </c>
      <c r="J32" s="97">
        <f t="shared" si="19"/>
        <v>1082.029819</v>
      </c>
      <c r="K32" s="97">
        <f t="shared" si="4"/>
        <v>3207.109453</v>
      </c>
      <c r="L32" s="97">
        <f t="shared" si="16"/>
        <v>800703.5356</v>
      </c>
      <c r="M32" s="97">
        <f t="shared" si="17"/>
        <v>16796.46445</v>
      </c>
      <c r="N32" s="97">
        <f t="shared" si="5"/>
        <v>51821.5618</v>
      </c>
      <c r="O32" s="104">
        <f t="shared" si="14"/>
        <v>16</v>
      </c>
      <c r="P32" s="105">
        <f t="shared" si="6"/>
        <v>733.2993644</v>
      </c>
      <c r="Q32" s="105">
        <f t="shared" si="7"/>
        <v>428.8772379</v>
      </c>
      <c r="R32" s="105">
        <f t="shared" si="8"/>
        <v>304.4221265</v>
      </c>
      <c r="S32" s="105">
        <f t="shared" si="9"/>
        <v>72632.43313</v>
      </c>
      <c r="T32" s="105">
        <f t="shared" si="10"/>
        <v>6652.56687</v>
      </c>
      <c r="U32" s="105">
        <f t="shared" si="11"/>
        <v>5080.222961</v>
      </c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ht="14.25" customHeight="1">
      <c r="A33" s="88"/>
      <c r="B33" s="89" t="s">
        <v>55</v>
      </c>
      <c r="C33" s="24"/>
      <c r="D33" s="25"/>
      <c r="E33" s="90"/>
      <c r="F33" s="90"/>
      <c r="G33" s="75"/>
      <c r="H33" s="96">
        <f t="shared" si="12"/>
        <v>17</v>
      </c>
      <c r="I33" s="97">
        <f t="shared" si="18"/>
        <v>4289.139272</v>
      </c>
      <c r="J33" s="97">
        <f t="shared" si="19"/>
        <v>1086.357938</v>
      </c>
      <c r="K33" s="97">
        <f t="shared" si="4"/>
        <v>3202.781334</v>
      </c>
      <c r="L33" s="97">
        <f t="shared" si="16"/>
        <v>799617.1776</v>
      </c>
      <c r="M33" s="97">
        <f t="shared" si="17"/>
        <v>17882.82238</v>
      </c>
      <c r="N33" s="97">
        <f t="shared" si="5"/>
        <v>55024.34314</v>
      </c>
      <c r="O33" s="104">
        <f t="shared" si="14"/>
        <v>17</v>
      </c>
      <c r="P33" s="105">
        <f t="shared" si="6"/>
        <v>733.2993644</v>
      </c>
      <c r="Q33" s="105">
        <f t="shared" si="7"/>
        <v>430.6642264</v>
      </c>
      <c r="R33" s="105">
        <f t="shared" si="8"/>
        <v>302.635138</v>
      </c>
      <c r="S33" s="105">
        <f t="shared" si="9"/>
        <v>72201.7689</v>
      </c>
      <c r="T33" s="105">
        <f t="shared" si="10"/>
        <v>7083.231096</v>
      </c>
      <c r="U33" s="105">
        <f t="shared" si="11"/>
        <v>5382.858099</v>
      </c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ht="14.25" customHeight="1" outlineLevel="1">
      <c r="A34" s="88"/>
      <c r="B34" s="130" t="s">
        <v>3</v>
      </c>
      <c r="C34" s="25"/>
      <c r="D34" s="131"/>
      <c r="E34" s="90"/>
      <c r="F34" s="90"/>
      <c r="G34" s="132"/>
      <c r="H34" s="133">
        <f t="shared" si="12"/>
        <v>18</v>
      </c>
      <c r="I34" s="134">
        <f t="shared" si="18"/>
        <v>4289.139272</v>
      </c>
      <c r="J34" s="134">
        <f t="shared" si="19"/>
        <v>1090.70337</v>
      </c>
      <c r="K34" s="134">
        <f t="shared" si="4"/>
        <v>3198.435902</v>
      </c>
      <c r="L34" s="134">
        <f t="shared" si="16"/>
        <v>798526.4742</v>
      </c>
      <c r="M34" s="134">
        <f t="shared" si="17"/>
        <v>18973.52575</v>
      </c>
      <c r="N34" s="134">
        <f t="shared" si="5"/>
        <v>58222.77904</v>
      </c>
      <c r="O34" s="135">
        <f t="shared" si="14"/>
        <v>18</v>
      </c>
      <c r="P34" s="136">
        <f t="shared" si="6"/>
        <v>733.2993644</v>
      </c>
      <c r="Q34" s="136">
        <f t="shared" si="7"/>
        <v>432.4586606</v>
      </c>
      <c r="R34" s="136">
        <f t="shared" si="8"/>
        <v>300.8407038</v>
      </c>
      <c r="S34" s="136">
        <f t="shared" si="9"/>
        <v>71769.31024</v>
      </c>
      <c r="T34" s="136">
        <f t="shared" si="10"/>
        <v>7515.689757</v>
      </c>
      <c r="U34" s="136">
        <f t="shared" si="11"/>
        <v>5683.698802</v>
      </c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ht="14.25" customHeight="1" outlineLevel="1">
      <c r="A35" s="88"/>
      <c r="B35" s="137" t="s">
        <v>56</v>
      </c>
      <c r="C35" s="25"/>
      <c r="D35" s="103"/>
      <c r="E35" s="138" t="s">
        <v>57</v>
      </c>
      <c r="F35" s="90"/>
      <c r="G35" s="132"/>
      <c r="H35" s="96">
        <f t="shared" si="12"/>
        <v>19</v>
      </c>
      <c r="I35" s="97">
        <f t="shared" si="18"/>
        <v>4289.139272</v>
      </c>
      <c r="J35" s="97">
        <f t="shared" si="19"/>
        <v>1095.066183</v>
      </c>
      <c r="K35" s="97">
        <f t="shared" si="4"/>
        <v>3194.073089</v>
      </c>
      <c r="L35" s="97">
        <f t="shared" si="16"/>
        <v>797431.4081</v>
      </c>
      <c r="M35" s="97">
        <f t="shared" si="17"/>
        <v>20068.59194</v>
      </c>
      <c r="N35" s="97">
        <f t="shared" si="5"/>
        <v>61416.85213</v>
      </c>
      <c r="O35" s="104">
        <f t="shared" si="14"/>
        <v>19</v>
      </c>
      <c r="P35" s="105">
        <f t="shared" si="6"/>
        <v>733.2993644</v>
      </c>
      <c r="Q35" s="105">
        <f t="shared" si="7"/>
        <v>434.2605717</v>
      </c>
      <c r="R35" s="105">
        <f t="shared" si="8"/>
        <v>299.0387927</v>
      </c>
      <c r="S35" s="105">
        <f t="shared" si="9"/>
        <v>71335.04967</v>
      </c>
      <c r="T35" s="105">
        <f t="shared" si="10"/>
        <v>7949.950328</v>
      </c>
      <c r="U35" s="105">
        <f t="shared" si="11"/>
        <v>5982.737595</v>
      </c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ht="14.25" customHeight="1" outlineLevel="1">
      <c r="A36" s="88"/>
      <c r="B36" s="137" t="s">
        <v>58</v>
      </c>
      <c r="C36" s="25"/>
      <c r="D36" s="103"/>
      <c r="E36" s="90"/>
      <c r="F36" s="139" t="s">
        <v>59</v>
      </c>
      <c r="G36" s="132"/>
      <c r="H36" s="96">
        <v>20.0</v>
      </c>
      <c r="I36" s="97">
        <f t="shared" si="18"/>
        <v>4289.139272</v>
      </c>
      <c r="J36" s="97">
        <f t="shared" si="19"/>
        <v>1099.446448</v>
      </c>
      <c r="K36" s="97">
        <f t="shared" si="4"/>
        <v>3189.692824</v>
      </c>
      <c r="L36" s="97">
        <f t="shared" si="16"/>
        <v>796331.9616</v>
      </c>
      <c r="M36" s="97">
        <f t="shared" si="17"/>
        <v>21168.03838</v>
      </c>
      <c r="N36" s="97">
        <f t="shared" si="5"/>
        <v>64606.54495</v>
      </c>
      <c r="O36" s="104">
        <f t="shared" si="14"/>
        <v>20</v>
      </c>
      <c r="P36" s="105">
        <f t="shared" si="6"/>
        <v>733.2993644</v>
      </c>
      <c r="Q36" s="105">
        <f t="shared" si="7"/>
        <v>436.0699908</v>
      </c>
      <c r="R36" s="105">
        <f t="shared" si="8"/>
        <v>297.2293736</v>
      </c>
      <c r="S36" s="105">
        <f t="shared" si="9"/>
        <v>70898.97968</v>
      </c>
      <c r="T36" s="105">
        <f t="shared" si="10"/>
        <v>8386.020319</v>
      </c>
      <c r="U36" s="105">
        <f t="shared" si="11"/>
        <v>6279.966969</v>
      </c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ht="14.25" customHeight="1" outlineLevel="1">
      <c r="A37" s="88"/>
      <c r="B37" s="137" t="s">
        <v>60</v>
      </c>
      <c r="C37" s="25"/>
      <c r="D37" s="103"/>
      <c r="F37" s="139" t="s">
        <v>61</v>
      </c>
      <c r="G37" s="132"/>
      <c r="H37" s="96">
        <f t="shared" ref="H37:H384" si="20">IF(H36&gt;=$K$10*12,"",H36+1)</f>
        <v>21</v>
      </c>
      <c r="I37" s="97">
        <f t="shared" si="18"/>
        <v>4289.139272</v>
      </c>
      <c r="J37" s="97">
        <f t="shared" si="19"/>
        <v>1103.844234</v>
      </c>
      <c r="K37" s="97">
        <f t="shared" si="4"/>
        <v>3185.295038</v>
      </c>
      <c r="L37" s="97">
        <f t="shared" si="16"/>
        <v>795228.1174</v>
      </c>
      <c r="M37" s="97">
        <f t="shared" si="17"/>
        <v>22271.88262</v>
      </c>
      <c r="N37" s="97">
        <f t="shared" si="5"/>
        <v>67791.83999</v>
      </c>
      <c r="O37" s="104">
        <f t="shared" si="14"/>
        <v>21</v>
      </c>
      <c r="P37" s="105">
        <f t="shared" si="6"/>
        <v>733.2993644</v>
      </c>
      <c r="Q37" s="105">
        <f t="shared" si="7"/>
        <v>437.8869491</v>
      </c>
      <c r="R37" s="105">
        <f t="shared" si="8"/>
        <v>295.4124153</v>
      </c>
      <c r="S37" s="105">
        <f t="shared" si="9"/>
        <v>70461.09273</v>
      </c>
      <c r="T37" s="105">
        <f t="shared" si="10"/>
        <v>8823.907268</v>
      </c>
      <c r="U37" s="105">
        <f t="shared" si="11"/>
        <v>6575.379384</v>
      </c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ht="14.25" customHeight="1" outlineLevel="1">
      <c r="A38" s="88"/>
      <c r="B38" s="137" t="s">
        <v>62</v>
      </c>
      <c r="C38" s="25"/>
      <c r="D38" s="103"/>
      <c r="E38" s="140"/>
      <c r="F38" s="141"/>
      <c r="G38" s="132"/>
      <c r="H38" s="125">
        <f t="shared" si="20"/>
        <v>22</v>
      </c>
      <c r="I38" s="97">
        <f t="shared" si="18"/>
        <v>4289.139272</v>
      </c>
      <c r="J38" s="97">
        <f t="shared" si="19"/>
        <v>1108.259611</v>
      </c>
      <c r="K38" s="97">
        <f t="shared" si="4"/>
        <v>3180.879661</v>
      </c>
      <c r="L38" s="97">
        <f t="shared" si="16"/>
        <v>794119.8578</v>
      </c>
      <c r="M38" s="97">
        <f t="shared" si="17"/>
        <v>23380.14223</v>
      </c>
      <c r="N38" s="97">
        <f t="shared" si="5"/>
        <v>70972.71965</v>
      </c>
      <c r="O38" s="104">
        <f t="shared" si="14"/>
        <v>22</v>
      </c>
      <c r="P38" s="105">
        <f t="shared" si="6"/>
        <v>733.2993644</v>
      </c>
      <c r="Q38" s="105">
        <f t="shared" si="7"/>
        <v>439.711478</v>
      </c>
      <c r="R38" s="105">
        <f t="shared" si="8"/>
        <v>293.5878864</v>
      </c>
      <c r="S38" s="105">
        <f t="shared" si="9"/>
        <v>70021.38125</v>
      </c>
      <c r="T38" s="105">
        <f t="shared" si="10"/>
        <v>9263.618746</v>
      </c>
      <c r="U38" s="105">
        <f t="shared" si="11"/>
        <v>6868.967271</v>
      </c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ht="14.25" customHeight="1" outlineLevel="1">
      <c r="A39" s="88"/>
      <c r="B39" s="137" t="s">
        <v>63</v>
      </c>
      <c r="C39" s="25"/>
      <c r="D39" s="103"/>
      <c r="E39" s="96"/>
      <c r="F39" s="125"/>
      <c r="G39" s="132"/>
      <c r="H39" s="125">
        <f t="shared" si="20"/>
        <v>23</v>
      </c>
      <c r="I39" s="97">
        <f t="shared" si="18"/>
        <v>4289.139272</v>
      </c>
      <c r="J39" s="97">
        <f t="shared" si="19"/>
        <v>1112.692649</v>
      </c>
      <c r="K39" s="97">
        <f t="shared" si="4"/>
        <v>3176.446623</v>
      </c>
      <c r="L39" s="97">
        <f t="shared" si="16"/>
        <v>793007.1651</v>
      </c>
      <c r="M39" s="97">
        <f t="shared" si="17"/>
        <v>24492.83488</v>
      </c>
      <c r="N39" s="97">
        <f t="shared" si="5"/>
        <v>74149.16627</v>
      </c>
      <c r="O39" s="104">
        <f t="shared" si="14"/>
        <v>23</v>
      </c>
      <c r="P39" s="105">
        <f t="shared" si="6"/>
        <v>733.2993644</v>
      </c>
      <c r="Q39" s="105">
        <f t="shared" si="7"/>
        <v>441.5436092</v>
      </c>
      <c r="R39" s="105">
        <f t="shared" si="8"/>
        <v>291.7557552</v>
      </c>
      <c r="S39" s="105">
        <f t="shared" si="9"/>
        <v>69579.83764</v>
      </c>
      <c r="T39" s="105">
        <f t="shared" si="10"/>
        <v>9705.162355</v>
      </c>
      <c r="U39" s="105">
        <f t="shared" si="11"/>
        <v>7160.723026</v>
      </c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ht="14.25" customHeight="1" outlineLevel="1">
      <c r="A40" s="88"/>
      <c r="B40" s="137" t="s">
        <v>64</v>
      </c>
      <c r="C40" s="25"/>
      <c r="D40" s="103"/>
      <c r="E40" s="96"/>
      <c r="F40" s="125"/>
      <c r="G40" s="132"/>
      <c r="H40" s="125">
        <f t="shared" si="20"/>
        <v>24</v>
      </c>
      <c r="I40" s="97">
        <f t="shared" si="18"/>
        <v>4289.139272</v>
      </c>
      <c r="J40" s="97">
        <f t="shared" si="19"/>
        <v>1117.14342</v>
      </c>
      <c r="K40" s="97">
        <f t="shared" si="4"/>
        <v>3171.995852</v>
      </c>
      <c r="L40" s="97">
        <f t="shared" si="16"/>
        <v>791890.0217</v>
      </c>
      <c r="M40" s="97">
        <f t="shared" si="17"/>
        <v>25609.9783</v>
      </c>
      <c r="N40" s="97">
        <f t="shared" si="5"/>
        <v>77321.16213</v>
      </c>
      <c r="O40" s="104">
        <f t="shared" si="14"/>
        <v>24</v>
      </c>
      <c r="P40" s="105">
        <f t="shared" si="6"/>
        <v>733.2993644</v>
      </c>
      <c r="Q40" s="105">
        <f t="shared" si="7"/>
        <v>443.3833742</v>
      </c>
      <c r="R40" s="105">
        <f t="shared" si="8"/>
        <v>289.9159902</v>
      </c>
      <c r="S40" s="105">
        <f t="shared" si="9"/>
        <v>69136.45427</v>
      </c>
      <c r="T40" s="105">
        <f t="shared" si="10"/>
        <v>10148.54573</v>
      </c>
      <c r="U40" s="105">
        <f t="shared" si="11"/>
        <v>7450.639016</v>
      </c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ht="14.25" customHeight="1" outlineLevel="1">
      <c r="A41" s="88"/>
      <c r="B41" s="137" t="s">
        <v>65</v>
      </c>
      <c r="C41" s="25"/>
      <c r="D41" s="103"/>
      <c r="E41" s="96"/>
      <c r="F41" s="125"/>
      <c r="G41" s="132"/>
      <c r="H41" s="125">
        <f t="shared" si="20"/>
        <v>25</v>
      </c>
      <c r="I41" s="97">
        <f t="shared" si="18"/>
        <v>4289.139272</v>
      </c>
      <c r="J41" s="97">
        <f t="shared" si="19"/>
        <v>1121.611993</v>
      </c>
      <c r="K41" s="97">
        <f t="shared" si="4"/>
        <v>3167.527278</v>
      </c>
      <c r="L41" s="97">
        <f t="shared" si="16"/>
        <v>790768.4097</v>
      </c>
      <c r="M41" s="97">
        <f t="shared" si="17"/>
        <v>26731.59029</v>
      </c>
      <c r="N41" s="97">
        <f t="shared" si="5"/>
        <v>80488.68941</v>
      </c>
      <c r="O41" s="104">
        <f t="shared" si="14"/>
        <v>25</v>
      </c>
      <c r="P41" s="105">
        <f t="shared" si="6"/>
        <v>733.2993644</v>
      </c>
      <c r="Q41" s="105">
        <f t="shared" si="7"/>
        <v>445.2308049</v>
      </c>
      <c r="R41" s="105">
        <f t="shared" si="8"/>
        <v>288.0685595</v>
      </c>
      <c r="S41" s="105">
        <f t="shared" si="9"/>
        <v>68691.22347</v>
      </c>
      <c r="T41" s="105">
        <f t="shared" si="10"/>
        <v>10593.77653</v>
      </c>
      <c r="U41" s="105">
        <f t="shared" si="11"/>
        <v>7738.707575</v>
      </c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  <row r="42" ht="14.25" customHeight="1" outlineLevel="1">
      <c r="A42" s="88"/>
      <c r="B42" s="137" t="s">
        <v>66</v>
      </c>
      <c r="C42" s="25"/>
      <c r="D42" s="103"/>
      <c r="E42" s="96"/>
      <c r="F42" s="125"/>
      <c r="G42" s="132"/>
      <c r="H42" s="125">
        <f t="shared" si="20"/>
        <v>26</v>
      </c>
      <c r="I42" s="97">
        <f t="shared" si="18"/>
        <v>4289.139272</v>
      </c>
      <c r="J42" s="97">
        <f t="shared" si="19"/>
        <v>1126.098441</v>
      </c>
      <c r="K42" s="97">
        <f t="shared" si="4"/>
        <v>3163.04083</v>
      </c>
      <c r="L42" s="97">
        <f t="shared" si="16"/>
        <v>789642.3113</v>
      </c>
      <c r="M42" s="97">
        <f t="shared" si="17"/>
        <v>27857.68873</v>
      </c>
      <c r="N42" s="97">
        <f t="shared" si="5"/>
        <v>83651.73024</v>
      </c>
      <c r="O42" s="104">
        <f t="shared" si="14"/>
        <v>26</v>
      </c>
      <c r="P42" s="105">
        <f t="shared" si="6"/>
        <v>733.2993644</v>
      </c>
      <c r="Q42" s="105">
        <f t="shared" si="7"/>
        <v>447.0859333</v>
      </c>
      <c r="R42" s="105">
        <f t="shared" si="8"/>
        <v>286.2134311</v>
      </c>
      <c r="S42" s="105">
        <f t="shared" si="9"/>
        <v>68244.13753</v>
      </c>
      <c r="T42" s="105">
        <f t="shared" si="10"/>
        <v>11040.86247</v>
      </c>
      <c r="U42" s="105">
        <f t="shared" si="11"/>
        <v>8024.921006</v>
      </c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</row>
    <row r="43" ht="14.25" customHeight="1" outlineLevel="1">
      <c r="A43" s="88"/>
      <c r="B43" s="137" t="s">
        <v>67</v>
      </c>
      <c r="C43" s="25"/>
      <c r="D43" s="103"/>
      <c r="E43" s="96"/>
      <c r="F43" s="125"/>
      <c r="G43" s="125"/>
      <c r="H43" s="125">
        <f t="shared" si="20"/>
        <v>27</v>
      </c>
      <c r="I43" s="97">
        <f t="shared" si="18"/>
        <v>4289.139272</v>
      </c>
      <c r="J43" s="97">
        <f t="shared" si="19"/>
        <v>1130.602835</v>
      </c>
      <c r="K43" s="97">
        <f t="shared" si="4"/>
        <v>3158.536437</v>
      </c>
      <c r="L43" s="97">
        <f t="shared" si="16"/>
        <v>788511.7084</v>
      </c>
      <c r="M43" s="97">
        <f t="shared" si="17"/>
        <v>28988.29157</v>
      </c>
      <c r="N43" s="97">
        <f t="shared" si="5"/>
        <v>86810.26667</v>
      </c>
      <c r="O43" s="104">
        <f t="shared" si="14"/>
        <v>27</v>
      </c>
      <c r="P43" s="105">
        <f t="shared" si="6"/>
        <v>733.2993644</v>
      </c>
      <c r="Q43" s="105">
        <f t="shared" si="7"/>
        <v>448.9487913</v>
      </c>
      <c r="R43" s="105">
        <f t="shared" si="8"/>
        <v>284.3505731</v>
      </c>
      <c r="S43" s="105">
        <f t="shared" si="9"/>
        <v>67795.18874</v>
      </c>
      <c r="T43" s="105">
        <f t="shared" si="10"/>
        <v>11489.81126</v>
      </c>
      <c r="U43" s="105">
        <f t="shared" si="11"/>
        <v>8309.27158</v>
      </c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</row>
    <row r="44" ht="14.25" customHeight="1" outlineLevel="1">
      <c r="A44" s="88"/>
      <c r="B44" s="137" t="s">
        <v>68</v>
      </c>
      <c r="C44" s="25"/>
      <c r="D44" s="103"/>
      <c r="E44" s="96"/>
      <c r="F44" s="125"/>
      <c r="H44" s="125">
        <f t="shared" si="20"/>
        <v>28</v>
      </c>
      <c r="I44" s="97">
        <f t="shared" si="18"/>
        <v>4289.139272</v>
      </c>
      <c r="J44" s="97">
        <f t="shared" si="19"/>
        <v>1135.125246</v>
      </c>
      <c r="K44" s="97">
        <f t="shared" si="4"/>
        <v>3154.014025</v>
      </c>
      <c r="L44" s="97">
        <f t="shared" si="16"/>
        <v>787376.5832</v>
      </c>
      <c r="M44" s="97">
        <f t="shared" si="17"/>
        <v>30123.41681</v>
      </c>
      <c r="N44" s="97">
        <f t="shared" si="5"/>
        <v>89964.2807</v>
      </c>
      <c r="O44" s="104">
        <f t="shared" si="14"/>
        <v>28</v>
      </c>
      <c r="P44" s="105">
        <f t="shared" si="6"/>
        <v>733.2993644</v>
      </c>
      <c r="Q44" s="105">
        <f t="shared" si="7"/>
        <v>450.8194113</v>
      </c>
      <c r="R44" s="105">
        <f t="shared" si="8"/>
        <v>282.4799531</v>
      </c>
      <c r="S44" s="105">
        <f t="shared" si="9"/>
        <v>67344.36933</v>
      </c>
      <c r="T44" s="105">
        <f t="shared" si="10"/>
        <v>11940.63067</v>
      </c>
      <c r="U44" s="105">
        <f t="shared" si="11"/>
        <v>8591.751533</v>
      </c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</row>
    <row r="45" ht="14.25" customHeight="1" outlineLevel="1">
      <c r="A45" s="88"/>
      <c r="B45" s="137" t="s">
        <v>69</v>
      </c>
      <c r="C45" s="25"/>
      <c r="D45" s="103">
        <v>0.0</v>
      </c>
      <c r="E45" s="96"/>
      <c r="F45" s="125"/>
      <c r="G45" s="125"/>
      <c r="H45" s="125">
        <f t="shared" si="20"/>
        <v>29</v>
      </c>
      <c r="I45" s="97">
        <f t="shared" si="18"/>
        <v>4289.139272</v>
      </c>
      <c r="J45" s="97">
        <f t="shared" si="19"/>
        <v>1139.665747</v>
      </c>
      <c r="K45" s="97">
        <f t="shared" si="4"/>
        <v>3149.473524</v>
      </c>
      <c r="L45" s="97">
        <f t="shared" si="16"/>
        <v>786236.9174</v>
      </c>
      <c r="M45" s="97">
        <f t="shared" si="17"/>
        <v>31263.08256</v>
      </c>
      <c r="N45" s="97">
        <f t="shared" si="5"/>
        <v>93113.75422</v>
      </c>
      <c r="O45" s="104">
        <f t="shared" si="14"/>
        <v>29</v>
      </c>
      <c r="P45" s="105">
        <f t="shared" si="6"/>
        <v>733.2993644</v>
      </c>
      <c r="Q45" s="105">
        <f t="shared" si="7"/>
        <v>452.6978255</v>
      </c>
      <c r="R45" s="105">
        <f t="shared" si="8"/>
        <v>280.6015389</v>
      </c>
      <c r="S45" s="105">
        <f t="shared" si="9"/>
        <v>66891.6715</v>
      </c>
      <c r="T45" s="105">
        <f t="shared" si="10"/>
        <v>12393.3285</v>
      </c>
      <c r="U45" s="105">
        <f t="shared" si="11"/>
        <v>8872.353072</v>
      </c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</row>
    <row r="46" ht="14.25" customHeight="1">
      <c r="A46" s="88"/>
      <c r="B46" s="142" t="s">
        <v>70</v>
      </c>
      <c r="C46" s="143"/>
      <c r="D46" s="144">
        <f>SUM(D35:D45)</f>
        <v>0</v>
      </c>
      <c r="E46" s="96"/>
      <c r="F46" s="125"/>
      <c r="G46" s="125"/>
      <c r="H46" s="125">
        <f t="shared" si="20"/>
        <v>30</v>
      </c>
      <c r="I46" s="97">
        <f t="shared" si="18"/>
        <v>4289.139272</v>
      </c>
      <c r="J46" s="97">
        <f t="shared" si="19"/>
        <v>1144.22441</v>
      </c>
      <c r="K46" s="97">
        <f t="shared" si="4"/>
        <v>3144.914861</v>
      </c>
      <c r="L46" s="97">
        <f t="shared" si="16"/>
        <v>785092.693</v>
      </c>
      <c r="M46" s="97">
        <f t="shared" si="17"/>
        <v>32407.30697</v>
      </c>
      <c r="N46" s="97">
        <f t="shared" si="5"/>
        <v>96258.66908</v>
      </c>
      <c r="O46" s="104">
        <f t="shared" si="14"/>
        <v>30</v>
      </c>
      <c r="P46" s="105">
        <f t="shared" si="6"/>
        <v>733.2993644</v>
      </c>
      <c r="Q46" s="105">
        <f t="shared" si="7"/>
        <v>454.5840665</v>
      </c>
      <c r="R46" s="105">
        <f t="shared" si="8"/>
        <v>278.7152979</v>
      </c>
      <c r="S46" s="105">
        <f t="shared" si="9"/>
        <v>66437.08744</v>
      </c>
      <c r="T46" s="105">
        <f t="shared" si="10"/>
        <v>12847.91256</v>
      </c>
      <c r="U46" s="105">
        <f t="shared" si="11"/>
        <v>9151.068369</v>
      </c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</row>
    <row r="47" ht="14.25" customHeight="1">
      <c r="A47" s="125"/>
      <c r="B47" s="145"/>
      <c r="C47" s="145"/>
      <c r="D47" s="145"/>
      <c r="E47" s="146"/>
      <c r="F47" s="146"/>
      <c r="G47" s="146"/>
      <c r="H47" s="125">
        <f t="shared" si="20"/>
        <v>31</v>
      </c>
      <c r="I47" s="97">
        <f t="shared" si="18"/>
        <v>4289.139272</v>
      </c>
      <c r="J47" s="97">
        <f t="shared" si="19"/>
        <v>1148.801308</v>
      </c>
      <c r="K47" s="97">
        <f t="shared" si="4"/>
        <v>3140.337964</v>
      </c>
      <c r="L47" s="97">
        <f t="shared" si="16"/>
        <v>783943.8917</v>
      </c>
      <c r="M47" s="97">
        <f t="shared" si="17"/>
        <v>33556.10828</v>
      </c>
      <c r="N47" s="97">
        <f t="shared" si="5"/>
        <v>99399.00705</v>
      </c>
      <c r="O47" s="104">
        <f t="shared" si="14"/>
        <v>31</v>
      </c>
      <c r="P47" s="105">
        <f t="shared" si="6"/>
        <v>733.2993644</v>
      </c>
      <c r="Q47" s="105">
        <f t="shared" si="7"/>
        <v>456.4781667</v>
      </c>
      <c r="R47" s="105">
        <f t="shared" si="8"/>
        <v>276.8211977</v>
      </c>
      <c r="S47" s="105">
        <f t="shared" si="9"/>
        <v>65980.60927</v>
      </c>
      <c r="T47" s="105">
        <f t="shared" si="10"/>
        <v>13304.39073</v>
      </c>
      <c r="U47" s="105">
        <f t="shared" si="11"/>
        <v>9427.889567</v>
      </c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</row>
    <row r="48" ht="14.25" customHeight="1">
      <c r="A48" s="88"/>
      <c r="B48" s="147" t="s">
        <v>71</v>
      </c>
      <c r="E48" s="148"/>
      <c r="H48" s="96">
        <f t="shared" si="20"/>
        <v>32</v>
      </c>
      <c r="I48" s="97">
        <f t="shared" si="18"/>
        <v>4289.139272</v>
      </c>
      <c r="J48" s="97">
        <f t="shared" si="19"/>
        <v>1153.396513</v>
      </c>
      <c r="K48" s="97">
        <f t="shared" si="4"/>
        <v>3135.742758</v>
      </c>
      <c r="L48" s="97">
        <f t="shared" si="16"/>
        <v>782790.4952</v>
      </c>
      <c r="M48" s="97">
        <f t="shared" si="17"/>
        <v>34709.50479</v>
      </c>
      <c r="N48" s="97">
        <f t="shared" si="5"/>
        <v>102534.7498</v>
      </c>
      <c r="O48" s="104">
        <f t="shared" si="14"/>
        <v>32</v>
      </c>
      <c r="P48" s="105">
        <f t="shared" si="6"/>
        <v>733.2993644</v>
      </c>
      <c r="Q48" s="105">
        <f t="shared" si="7"/>
        <v>458.3801591</v>
      </c>
      <c r="R48" s="105">
        <f t="shared" si="8"/>
        <v>274.9192053</v>
      </c>
      <c r="S48" s="105">
        <f t="shared" si="9"/>
        <v>65522.22911</v>
      </c>
      <c r="T48" s="105">
        <f t="shared" si="10"/>
        <v>13762.77089</v>
      </c>
      <c r="U48" s="105">
        <f t="shared" si="11"/>
        <v>9702.808772</v>
      </c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</row>
    <row r="49" ht="14.25" customHeight="1">
      <c r="A49" s="88"/>
      <c r="B49" s="149" t="s">
        <v>72</v>
      </c>
      <c r="C49" s="25"/>
      <c r="D49" s="144">
        <f>D9+D31+D46+D55+D64</f>
        <v>1162105</v>
      </c>
      <c r="H49" s="96">
        <f t="shared" si="20"/>
        <v>33</v>
      </c>
      <c r="I49" s="97">
        <f t="shared" si="18"/>
        <v>4289.139272</v>
      </c>
      <c r="J49" s="97">
        <f t="shared" si="19"/>
        <v>1158.010099</v>
      </c>
      <c r="K49" s="97">
        <f t="shared" si="4"/>
        <v>3131.129172</v>
      </c>
      <c r="L49" s="97">
        <f t="shared" si="16"/>
        <v>781632.4851</v>
      </c>
      <c r="M49" s="97">
        <f t="shared" si="17"/>
        <v>35867.51489</v>
      </c>
      <c r="N49" s="97">
        <f t="shared" si="5"/>
        <v>105665.879</v>
      </c>
      <c r="O49" s="104">
        <f t="shared" si="14"/>
        <v>33</v>
      </c>
      <c r="P49" s="105">
        <f t="shared" si="6"/>
        <v>733.2993644</v>
      </c>
      <c r="Q49" s="105">
        <f t="shared" si="7"/>
        <v>460.2900764</v>
      </c>
      <c r="R49" s="105">
        <f t="shared" si="8"/>
        <v>273.009288</v>
      </c>
      <c r="S49" s="105">
        <f t="shared" si="9"/>
        <v>65061.93904</v>
      </c>
      <c r="T49" s="105">
        <f t="shared" si="10"/>
        <v>14223.06096</v>
      </c>
      <c r="U49" s="105">
        <f t="shared" si="11"/>
        <v>9975.81806</v>
      </c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</row>
    <row r="50" ht="14.25" customHeight="1">
      <c r="A50" s="88"/>
      <c r="B50" s="150" t="s">
        <v>73</v>
      </c>
      <c r="C50" s="25"/>
      <c r="D50" s="151">
        <f>D46+D31+D11</f>
        <v>344605</v>
      </c>
      <c r="E50" s="60"/>
      <c r="H50" s="96">
        <f t="shared" si="20"/>
        <v>34</v>
      </c>
      <c r="I50" s="97">
        <f t="shared" si="18"/>
        <v>4289.139272</v>
      </c>
      <c r="J50" s="97">
        <f t="shared" si="19"/>
        <v>1162.64214</v>
      </c>
      <c r="K50" s="97">
        <f t="shared" si="4"/>
        <v>3126.497132</v>
      </c>
      <c r="L50" s="97">
        <f t="shared" si="16"/>
        <v>780469.843</v>
      </c>
      <c r="M50" s="97">
        <f t="shared" si="17"/>
        <v>37030.15703</v>
      </c>
      <c r="N50" s="97">
        <f t="shared" si="5"/>
        <v>108792.3761</v>
      </c>
      <c r="O50" s="104">
        <f t="shared" si="14"/>
        <v>34</v>
      </c>
      <c r="P50" s="105">
        <f t="shared" si="6"/>
        <v>733.2993644</v>
      </c>
      <c r="Q50" s="105">
        <f t="shared" si="7"/>
        <v>462.2079518</v>
      </c>
      <c r="R50" s="105">
        <f t="shared" si="8"/>
        <v>271.0914126</v>
      </c>
      <c r="S50" s="105">
        <f t="shared" si="9"/>
        <v>64599.73108</v>
      </c>
      <c r="T50" s="105">
        <f t="shared" si="10"/>
        <v>14685.26892</v>
      </c>
      <c r="U50" s="105">
        <f t="shared" si="11"/>
        <v>10246.90947</v>
      </c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</row>
    <row r="51" ht="14.25" customHeight="1">
      <c r="A51" s="125"/>
      <c r="B51" s="152" t="s">
        <v>74</v>
      </c>
      <c r="C51" s="25"/>
      <c r="D51" s="153">
        <f>SUM(D50-D12)</f>
        <v>79285</v>
      </c>
      <c r="E51" s="154"/>
      <c r="F51" s="154"/>
      <c r="G51" s="154"/>
      <c r="H51" s="125">
        <f t="shared" si="20"/>
        <v>35</v>
      </c>
      <c r="I51" s="97">
        <f t="shared" si="18"/>
        <v>4289.139272</v>
      </c>
      <c r="J51" s="97">
        <f t="shared" si="19"/>
        <v>1167.292708</v>
      </c>
      <c r="K51" s="97">
        <f t="shared" si="4"/>
        <v>3121.846563</v>
      </c>
      <c r="L51" s="97">
        <f t="shared" si="16"/>
        <v>779302.5503</v>
      </c>
      <c r="M51" s="97">
        <f t="shared" si="17"/>
        <v>38197.44974</v>
      </c>
      <c r="N51" s="97">
        <f t="shared" si="5"/>
        <v>111914.2227</v>
      </c>
      <c r="O51" s="104">
        <f t="shared" si="14"/>
        <v>35</v>
      </c>
      <c r="P51" s="105">
        <f t="shared" si="6"/>
        <v>733.2993644</v>
      </c>
      <c r="Q51" s="105">
        <f t="shared" si="7"/>
        <v>464.1338182</v>
      </c>
      <c r="R51" s="105">
        <f t="shared" si="8"/>
        <v>269.1655462</v>
      </c>
      <c r="S51" s="105">
        <f t="shared" si="9"/>
        <v>64135.59727</v>
      </c>
      <c r="T51" s="105">
        <f t="shared" si="10"/>
        <v>15149.40273</v>
      </c>
      <c r="U51" s="105">
        <f t="shared" si="11"/>
        <v>10516.07502</v>
      </c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</row>
    <row r="52" ht="14.25" customHeight="1" outlineLevel="1">
      <c r="A52" s="125"/>
      <c r="E52" s="125"/>
      <c r="F52" s="125"/>
      <c r="G52" s="125"/>
      <c r="H52" s="155">
        <f t="shared" si="20"/>
        <v>36</v>
      </c>
      <c r="I52" s="156">
        <f t="shared" si="18"/>
        <v>4289.139272</v>
      </c>
      <c r="J52" s="156">
        <f t="shared" si="19"/>
        <v>1171.961879</v>
      </c>
      <c r="K52" s="156">
        <f t="shared" si="4"/>
        <v>3117.177393</v>
      </c>
      <c r="L52" s="156">
        <f t="shared" si="16"/>
        <v>778130.5884</v>
      </c>
      <c r="M52" s="156">
        <f t="shared" si="17"/>
        <v>39369.41162</v>
      </c>
      <c r="N52" s="156">
        <f t="shared" si="5"/>
        <v>115031.4001</v>
      </c>
      <c r="O52" s="157">
        <f t="shared" si="14"/>
        <v>36</v>
      </c>
      <c r="P52" s="158">
        <f t="shared" si="6"/>
        <v>733.2993644</v>
      </c>
      <c r="Q52" s="158">
        <f t="shared" si="7"/>
        <v>466.0677091</v>
      </c>
      <c r="R52" s="158">
        <f t="shared" si="8"/>
        <v>267.2316553</v>
      </c>
      <c r="S52" s="158">
        <f t="shared" si="9"/>
        <v>63669.52956</v>
      </c>
      <c r="T52" s="158">
        <f t="shared" si="10"/>
        <v>15615.47044</v>
      </c>
      <c r="U52" s="158">
        <f t="shared" si="11"/>
        <v>10783.30667</v>
      </c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</row>
    <row r="53" ht="14.25" customHeight="1" outlineLevel="1">
      <c r="A53" s="88"/>
      <c r="B53" s="89" t="s">
        <v>75</v>
      </c>
      <c r="C53" s="24"/>
      <c r="D53" s="25"/>
      <c r="E53" s="96"/>
      <c r="F53" s="125"/>
      <c r="G53" s="125"/>
      <c r="H53" s="125">
        <f t="shared" si="20"/>
        <v>37</v>
      </c>
      <c r="I53" s="97">
        <f t="shared" si="18"/>
        <v>4289.139272</v>
      </c>
      <c r="J53" s="97">
        <f t="shared" si="19"/>
        <v>1176.649727</v>
      </c>
      <c r="K53" s="97">
        <f t="shared" si="4"/>
        <v>3112.489545</v>
      </c>
      <c r="L53" s="97">
        <f t="shared" si="16"/>
        <v>776953.9387</v>
      </c>
      <c r="M53" s="97">
        <f t="shared" si="17"/>
        <v>40546.06135</v>
      </c>
      <c r="N53" s="97">
        <f t="shared" si="5"/>
        <v>118143.8896</v>
      </c>
      <c r="O53" s="104">
        <f t="shared" si="14"/>
        <v>37</v>
      </c>
      <c r="P53" s="105">
        <f t="shared" si="6"/>
        <v>733.2993644</v>
      </c>
      <c r="Q53" s="105">
        <f t="shared" si="7"/>
        <v>468.0096579</v>
      </c>
      <c r="R53" s="105">
        <f t="shared" si="8"/>
        <v>265.2897065</v>
      </c>
      <c r="S53" s="105">
        <f t="shared" si="9"/>
        <v>63201.5199</v>
      </c>
      <c r="T53" s="105">
        <f t="shared" si="10"/>
        <v>16083.4801</v>
      </c>
      <c r="U53" s="105">
        <f t="shared" si="11"/>
        <v>11048.59638</v>
      </c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</row>
    <row r="54" ht="14.25" customHeight="1" outlineLevel="1">
      <c r="A54" s="88"/>
      <c r="B54" s="95" t="s">
        <v>3</v>
      </c>
      <c r="C54" s="159" t="s">
        <v>76</v>
      </c>
      <c r="D54" s="95" t="s">
        <v>38</v>
      </c>
      <c r="E54" s="96"/>
      <c r="F54" s="125"/>
      <c r="G54" s="125"/>
      <c r="H54" s="125">
        <f t="shared" si="20"/>
        <v>38</v>
      </c>
      <c r="I54" s="97">
        <f t="shared" si="18"/>
        <v>4289.139272</v>
      </c>
      <c r="J54" s="97">
        <f t="shared" si="19"/>
        <v>1181.356326</v>
      </c>
      <c r="K54" s="97">
        <f t="shared" si="4"/>
        <v>3107.782946</v>
      </c>
      <c r="L54" s="97">
        <f t="shared" si="16"/>
        <v>775772.5823</v>
      </c>
      <c r="M54" s="97">
        <f t="shared" si="17"/>
        <v>41727.41767</v>
      </c>
      <c r="N54" s="97">
        <f t="shared" si="5"/>
        <v>121251.6726</v>
      </c>
      <c r="O54" s="104">
        <f t="shared" si="14"/>
        <v>38</v>
      </c>
      <c r="P54" s="105">
        <f t="shared" si="6"/>
        <v>733.2993644</v>
      </c>
      <c r="Q54" s="105">
        <f t="shared" si="7"/>
        <v>469.9596982</v>
      </c>
      <c r="R54" s="105">
        <f t="shared" si="8"/>
        <v>263.3396662</v>
      </c>
      <c r="S54" s="105">
        <f t="shared" si="9"/>
        <v>62731.5602</v>
      </c>
      <c r="T54" s="105">
        <f t="shared" si="10"/>
        <v>16553.4398</v>
      </c>
      <c r="U54" s="105">
        <f t="shared" si="11"/>
        <v>11311.93605</v>
      </c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</row>
    <row r="55" ht="14.25" customHeight="1" outlineLevel="1">
      <c r="A55" s="88"/>
      <c r="B55" s="101" t="s">
        <v>77</v>
      </c>
      <c r="C55" s="160">
        <v>1.0</v>
      </c>
      <c r="D55" s="161"/>
      <c r="E55" s="162" t="s">
        <v>78</v>
      </c>
      <c r="F55" s="125"/>
      <c r="G55" s="125"/>
      <c r="H55" s="125">
        <f t="shared" si="20"/>
        <v>39</v>
      </c>
      <c r="I55" s="97">
        <f t="shared" si="18"/>
        <v>4289.139272</v>
      </c>
      <c r="J55" s="97">
        <f t="shared" si="19"/>
        <v>1186.081751</v>
      </c>
      <c r="K55" s="97">
        <f t="shared" si="4"/>
        <v>3103.057521</v>
      </c>
      <c r="L55" s="97">
        <f t="shared" si="16"/>
        <v>774586.5006</v>
      </c>
      <c r="M55" s="97">
        <f t="shared" si="17"/>
        <v>42913.49942</v>
      </c>
      <c r="N55" s="97">
        <f t="shared" si="5"/>
        <v>124354.7301</v>
      </c>
      <c r="O55" s="104">
        <f t="shared" si="14"/>
        <v>39</v>
      </c>
      <c r="P55" s="105">
        <f t="shared" si="6"/>
        <v>733.2993644</v>
      </c>
      <c r="Q55" s="105">
        <f t="shared" si="7"/>
        <v>471.9178636</v>
      </c>
      <c r="R55" s="105">
        <f t="shared" si="8"/>
        <v>261.3815008</v>
      </c>
      <c r="S55" s="105">
        <f t="shared" si="9"/>
        <v>62259.64234</v>
      </c>
      <c r="T55" s="105">
        <f t="shared" si="10"/>
        <v>17025.35766</v>
      </c>
      <c r="U55" s="105">
        <f t="shared" si="11"/>
        <v>11573.31755</v>
      </c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</row>
    <row r="56" ht="14.25" customHeight="1">
      <c r="A56" s="88"/>
      <c r="B56" s="101" t="s">
        <v>79</v>
      </c>
      <c r="C56" s="160">
        <v>0.0</v>
      </c>
      <c r="D56" s="124">
        <v>0.0</v>
      </c>
      <c r="E56" s="96"/>
      <c r="F56" s="125"/>
      <c r="G56" s="125"/>
      <c r="H56" s="125">
        <f t="shared" si="20"/>
        <v>40</v>
      </c>
      <c r="I56" s="97">
        <f t="shared" si="18"/>
        <v>4289.139272</v>
      </c>
      <c r="J56" s="97">
        <f t="shared" si="19"/>
        <v>1190.826078</v>
      </c>
      <c r="K56" s="97">
        <f t="shared" si="4"/>
        <v>3098.313194</v>
      </c>
      <c r="L56" s="97">
        <f t="shared" si="16"/>
        <v>773395.6745</v>
      </c>
      <c r="M56" s="97">
        <f t="shared" si="17"/>
        <v>44104.3255</v>
      </c>
      <c r="N56" s="97">
        <f t="shared" si="5"/>
        <v>127453.0433</v>
      </c>
      <c r="O56" s="104">
        <f t="shared" si="14"/>
        <v>40</v>
      </c>
      <c r="P56" s="105">
        <f t="shared" si="6"/>
        <v>733.2993644</v>
      </c>
      <c r="Q56" s="105">
        <f t="shared" si="7"/>
        <v>473.884188</v>
      </c>
      <c r="R56" s="105">
        <f t="shared" si="8"/>
        <v>259.4151764</v>
      </c>
      <c r="S56" s="105">
        <f t="shared" si="9"/>
        <v>61785.75815</v>
      </c>
      <c r="T56" s="105">
        <f t="shared" si="10"/>
        <v>17499.24185</v>
      </c>
      <c r="U56" s="105">
        <f t="shared" si="11"/>
        <v>11832.73272</v>
      </c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</row>
    <row r="57" ht="14.25" customHeight="1">
      <c r="A57" s="88"/>
      <c r="B57" s="101" t="s">
        <v>80</v>
      </c>
      <c r="C57" s="160">
        <v>0.0</v>
      </c>
      <c r="D57" s="124">
        <v>0.0</v>
      </c>
      <c r="E57" s="96"/>
      <c r="F57" s="125"/>
      <c r="G57" s="125"/>
      <c r="H57" s="125">
        <f t="shared" si="20"/>
        <v>41</v>
      </c>
      <c r="I57" s="97">
        <f t="shared" si="18"/>
        <v>4289.139272</v>
      </c>
      <c r="J57" s="97">
        <f t="shared" si="19"/>
        <v>1195.589382</v>
      </c>
      <c r="K57" s="97">
        <f t="shared" si="4"/>
        <v>3093.54989</v>
      </c>
      <c r="L57" s="97">
        <f t="shared" si="16"/>
        <v>772200.0851</v>
      </c>
      <c r="M57" s="97">
        <f t="shared" si="17"/>
        <v>45299.91488</v>
      </c>
      <c r="N57" s="97">
        <f t="shared" si="5"/>
        <v>130546.5932</v>
      </c>
      <c r="O57" s="104">
        <f t="shared" si="14"/>
        <v>41</v>
      </c>
      <c r="P57" s="105">
        <f t="shared" si="6"/>
        <v>733.2993644</v>
      </c>
      <c r="Q57" s="105">
        <f t="shared" si="7"/>
        <v>475.8587054</v>
      </c>
      <c r="R57" s="105">
        <f t="shared" si="8"/>
        <v>257.440659</v>
      </c>
      <c r="S57" s="105">
        <f t="shared" si="9"/>
        <v>61309.89944</v>
      </c>
      <c r="T57" s="105">
        <f t="shared" si="10"/>
        <v>17975.10056</v>
      </c>
      <c r="U57" s="105">
        <f t="shared" si="11"/>
        <v>12090.17338</v>
      </c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</row>
    <row r="58" ht="14.25" customHeight="1">
      <c r="A58" s="88"/>
      <c r="B58" s="142" t="s">
        <v>81</v>
      </c>
      <c r="C58" s="163"/>
      <c r="D58" s="164">
        <f>D57+D55</f>
        <v>0</v>
      </c>
      <c r="E58" s="96"/>
      <c r="F58" s="125"/>
      <c r="G58" s="125"/>
      <c r="H58" s="125">
        <f t="shared" si="20"/>
        <v>42</v>
      </c>
      <c r="I58" s="97">
        <f t="shared" si="18"/>
        <v>4289.139272</v>
      </c>
      <c r="J58" s="97">
        <f t="shared" si="19"/>
        <v>1200.37174</v>
      </c>
      <c r="K58" s="97">
        <f t="shared" si="4"/>
        <v>3088.767532</v>
      </c>
      <c r="L58" s="97">
        <f t="shared" si="16"/>
        <v>770999.7134</v>
      </c>
      <c r="M58" s="97">
        <f t="shared" si="17"/>
        <v>46500.28662</v>
      </c>
      <c r="N58" s="97">
        <f t="shared" si="5"/>
        <v>133635.3607</v>
      </c>
      <c r="O58" s="104">
        <f t="shared" si="14"/>
        <v>42</v>
      </c>
      <c r="P58" s="105">
        <f t="shared" si="6"/>
        <v>733.2993644</v>
      </c>
      <c r="Q58" s="105">
        <f t="shared" si="7"/>
        <v>477.8414501</v>
      </c>
      <c r="R58" s="105">
        <f t="shared" si="8"/>
        <v>255.4579143</v>
      </c>
      <c r="S58" s="105">
        <f t="shared" si="9"/>
        <v>60832.05799</v>
      </c>
      <c r="T58" s="105">
        <f t="shared" si="10"/>
        <v>18452.94201</v>
      </c>
      <c r="U58" s="105">
        <f t="shared" si="11"/>
        <v>12345.6313</v>
      </c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</row>
    <row r="59" ht="14.25" customHeight="1" outlineLevel="1">
      <c r="A59" s="88"/>
      <c r="B59" s="145"/>
      <c r="C59" s="145"/>
      <c r="D59" s="145"/>
      <c r="E59" s="96"/>
      <c r="F59" s="125"/>
      <c r="G59" s="125"/>
      <c r="H59" s="125">
        <f t="shared" si="20"/>
        <v>43</v>
      </c>
      <c r="I59" s="97">
        <f t="shared" si="18"/>
        <v>4289.139272</v>
      </c>
      <c r="J59" s="97">
        <f t="shared" si="19"/>
        <v>1205.173227</v>
      </c>
      <c r="K59" s="97">
        <f t="shared" si="4"/>
        <v>3083.966045</v>
      </c>
      <c r="L59" s="97">
        <f t="shared" si="16"/>
        <v>769794.5402</v>
      </c>
      <c r="M59" s="97">
        <f t="shared" si="17"/>
        <v>47705.45985</v>
      </c>
      <c r="N59" s="97">
        <f t="shared" si="5"/>
        <v>136719.3267</v>
      </c>
      <c r="O59" s="104">
        <f t="shared" si="14"/>
        <v>43</v>
      </c>
      <c r="P59" s="105">
        <f t="shared" si="6"/>
        <v>733.2993644</v>
      </c>
      <c r="Q59" s="105">
        <f t="shared" si="7"/>
        <v>479.8324561</v>
      </c>
      <c r="R59" s="105">
        <f t="shared" si="8"/>
        <v>253.4669083</v>
      </c>
      <c r="S59" s="105">
        <f t="shared" si="9"/>
        <v>60352.22554</v>
      </c>
      <c r="T59" s="105">
        <f t="shared" si="10"/>
        <v>18932.77446</v>
      </c>
      <c r="U59" s="105">
        <f t="shared" si="11"/>
        <v>12599.09821</v>
      </c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</row>
    <row r="60" ht="14.25" customHeight="1" outlineLevel="1">
      <c r="A60" s="125"/>
      <c r="B60" s="89" t="s">
        <v>82</v>
      </c>
      <c r="C60" s="24"/>
      <c r="D60" s="25"/>
      <c r="E60" s="125"/>
      <c r="F60" s="125"/>
      <c r="G60" s="125"/>
      <c r="H60" s="125">
        <f t="shared" si="20"/>
        <v>44</v>
      </c>
      <c r="I60" s="97">
        <f t="shared" si="18"/>
        <v>4289.139272</v>
      </c>
      <c r="J60" s="97">
        <f t="shared" si="19"/>
        <v>1209.99392</v>
      </c>
      <c r="K60" s="97">
        <f t="shared" si="4"/>
        <v>3079.145352</v>
      </c>
      <c r="L60" s="97">
        <f t="shared" si="16"/>
        <v>768584.5462</v>
      </c>
      <c r="M60" s="97">
        <f t="shared" si="17"/>
        <v>48915.45377</v>
      </c>
      <c r="N60" s="97">
        <f t="shared" si="5"/>
        <v>139798.4721</v>
      </c>
      <c r="O60" s="104">
        <f t="shared" si="14"/>
        <v>44</v>
      </c>
      <c r="P60" s="105">
        <f t="shared" si="6"/>
        <v>733.2993644</v>
      </c>
      <c r="Q60" s="105">
        <f t="shared" si="7"/>
        <v>481.831758</v>
      </c>
      <c r="R60" s="105">
        <f t="shared" si="8"/>
        <v>251.4676064</v>
      </c>
      <c r="S60" s="105">
        <f t="shared" si="9"/>
        <v>59870.39378</v>
      </c>
      <c r="T60" s="105">
        <f t="shared" si="10"/>
        <v>19414.60622</v>
      </c>
      <c r="U60" s="105">
        <f t="shared" si="11"/>
        <v>12850.56581</v>
      </c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</row>
    <row r="61" ht="14.25" customHeight="1" outlineLevel="1">
      <c r="A61" s="125"/>
      <c r="B61" s="95" t="s">
        <v>3</v>
      </c>
      <c r="C61" s="165" t="s">
        <v>76</v>
      </c>
      <c r="D61" s="95" t="s">
        <v>83</v>
      </c>
      <c r="E61" s="125"/>
      <c r="F61" s="125"/>
      <c r="G61" s="125"/>
      <c r="H61" s="125">
        <f t="shared" si="20"/>
        <v>45</v>
      </c>
      <c r="I61" s="97">
        <f t="shared" si="18"/>
        <v>4289.139272</v>
      </c>
      <c r="J61" s="97">
        <f t="shared" si="19"/>
        <v>1214.833895</v>
      </c>
      <c r="K61" s="97">
        <f t="shared" si="4"/>
        <v>3074.305377</v>
      </c>
      <c r="L61" s="97">
        <f t="shared" si="16"/>
        <v>767369.7123</v>
      </c>
      <c r="M61" s="97">
        <f t="shared" si="17"/>
        <v>50130.28766</v>
      </c>
      <c r="N61" s="97">
        <f t="shared" si="5"/>
        <v>142872.7775</v>
      </c>
      <c r="O61" s="104">
        <f t="shared" si="14"/>
        <v>45</v>
      </c>
      <c r="P61" s="105">
        <f t="shared" si="6"/>
        <v>733.2993644</v>
      </c>
      <c r="Q61" s="105">
        <f t="shared" si="7"/>
        <v>483.8393903</v>
      </c>
      <c r="R61" s="105">
        <f t="shared" si="8"/>
        <v>249.4599741</v>
      </c>
      <c r="S61" s="105">
        <f t="shared" si="9"/>
        <v>59386.55439</v>
      </c>
      <c r="T61" s="105">
        <f t="shared" si="10"/>
        <v>19898.44561</v>
      </c>
      <c r="U61" s="105">
        <f t="shared" si="11"/>
        <v>13100.02579</v>
      </c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r="62" ht="14.25" customHeight="1" outlineLevel="1">
      <c r="A62" s="125"/>
      <c r="B62" s="101" t="s">
        <v>84</v>
      </c>
      <c r="C62" s="160">
        <v>18.0</v>
      </c>
      <c r="D62" s="124"/>
      <c r="E62" s="125"/>
      <c r="F62" s="125"/>
      <c r="G62" s="125"/>
      <c r="H62" s="125">
        <f t="shared" si="20"/>
        <v>46</v>
      </c>
      <c r="I62" s="97">
        <f t="shared" si="18"/>
        <v>4289.139272</v>
      </c>
      <c r="J62" s="97">
        <f t="shared" si="19"/>
        <v>1219.693231</v>
      </c>
      <c r="K62" s="97">
        <f t="shared" si="4"/>
        <v>3069.446041</v>
      </c>
      <c r="L62" s="97">
        <f t="shared" si="16"/>
        <v>766150.0191</v>
      </c>
      <c r="M62" s="97">
        <f t="shared" si="17"/>
        <v>51349.98089</v>
      </c>
      <c r="N62" s="97">
        <f t="shared" si="5"/>
        <v>145942.2235</v>
      </c>
      <c r="O62" s="104">
        <f t="shared" si="14"/>
        <v>46</v>
      </c>
      <c r="P62" s="105">
        <f t="shared" si="6"/>
        <v>733.2993644</v>
      </c>
      <c r="Q62" s="105">
        <f t="shared" si="7"/>
        <v>485.8553878</v>
      </c>
      <c r="R62" s="105">
        <f t="shared" si="8"/>
        <v>247.4439766</v>
      </c>
      <c r="S62" s="105">
        <f t="shared" si="9"/>
        <v>58900.699</v>
      </c>
      <c r="T62" s="105">
        <f t="shared" si="10"/>
        <v>20384.301</v>
      </c>
      <c r="U62" s="105">
        <f t="shared" si="11"/>
        <v>13347.46976</v>
      </c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r="63" ht="14.25" customHeight="1">
      <c r="A63" s="125"/>
      <c r="B63" s="101" t="s">
        <v>85</v>
      </c>
      <c r="C63" s="160">
        <v>0.0</v>
      </c>
      <c r="D63" s="124">
        <f>IFERROR(VLOOKUP(C63,O17:U376,7,0)/C63,0)</f>
        <v>0</v>
      </c>
      <c r="E63" s="125"/>
      <c r="F63" s="125"/>
      <c r="G63" s="125"/>
      <c r="H63" s="125">
        <f t="shared" si="20"/>
        <v>47</v>
      </c>
      <c r="I63" s="97">
        <f t="shared" si="18"/>
        <v>4289.139272</v>
      </c>
      <c r="J63" s="97">
        <f t="shared" si="19"/>
        <v>1224.572004</v>
      </c>
      <c r="K63" s="97">
        <f t="shared" si="4"/>
        <v>3064.567268</v>
      </c>
      <c r="L63" s="97">
        <f t="shared" si="16"/>
        <v>764925.4471</v>
      </c>
      <c r="M63" s="97">
        <f t="shared" si="17"/>
        <v>52574.5529</v>
      </c>
      <c r="N63" s="97">
        <f t="shared" si="5"/>
        <v>149006.7908</v>
      </c>
      <c r="O63" s="104">
        <f t="shared" si="14"/>
        <v>47</v>
      </c>
      <c r="P63" s="105">
        <f t="shared" si="6"/>
        <v>733.2993644</v>
      </c>
      <c r="Q63" s="105">
        <f t="shared" si="7"/>
        <v>487.8797852</v>
      </c>
      <c r="R63" s="105">
        <f t="shared" si="8"/>
        <v>245.4195792</v>
      </c>
      <c r="S63" s="105">
        <f t="shared" si="9"/>
        <v>58412.81922</v>
      </c>
      <c r="T63" s="105">
        <f t="shared" si="10"/>
        <v>20872.18078</v>
      </c>
      <c r="U63" s="105">
        <f t="shared" si="11"/>
        <v>13592.88934</v>
      </c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</row>
    <row r="64" ht="14.25" customHeight="1">
      <c r="A64" s="166"/>
      <c r="B64" s="101" t="s">
        <v>86</v>
      </c>
      <c r="C64" s="160">
        <f>IF(D64=0,0,1)</f>
        <v>0</v>
      </c>
      <c r="D64" s="124">
        <v>0.0</v>
      </c>
      <c r="E64" s="166"/>
      <c r="F64" s="166"/>
      <c r="G64" s="166"/>
      <c r="H64" s="166">
        <f t="shared" si="20"/>
        <v>48</v>
      </c>
      <c r="I64" s="167">
        <f t="shared" si="18"/>
        <v>4289.139272</v>
      </c>
      <c r="J64" s="167">
        <f t="shared" si="19"/>
        <v>1229.470292</v>
      </c>
      <c r="K64" s="167">
        <f t="shared" si="4"/>
        <v>3059.66898</v>
      </c>
      <c r="L64" s="167">
        <f t="shared" si="16"/>
        <v>763695.9768</v>
      </c>
      <c r="M64" s="167">
        <f t="shared" si="17"/>
        <v>53804.02319</v>
      </c>
      <c r="N64" s="167">
        <f t="shared" si="5"/>
        <v>152066.4598</v>
      </c>
      <c r="O64" s="168">
        <f t="shared" si="14"/>
        <v>48</v>
      </c>
      <c r="P64" s="169">
        <f t="shared" si="6"/>
        <v>733.2993644</v>
      </c>
      <c r="Q64" s="169">
        <f t="shared" si="7"/>
        <v>489.9126177</v>
      </c>
      <c r="R64" s="169">
        <f t="shared" si="8"/>
        <v>243.3867467</v>
      </c>
      <c r="S64" s="169">
        <f t="shared" si="9"/>
        <v>57922.9066</v>
      </c>
      <c r="T64" s="169">
        <f t="shared" si="10"/>
        <v>21362.0934</v>
      </c>
      <c r="U64" s="169">
        <f t="shared" si="11"/>
        <v>13836.27609</v>
      </c>
      <c r="V64" s="2"/>
      <c r="W64" s="2"/>
      <c r="X64" s="2"/>
      <c r="Y64" s="170"/>
      <c r="Z64" s="170"/>
      <c r="AA64" s="170"/>
      <c r="AB64" s="170"/>
      <c r="AC64" s="170"/>
      <c r="AD64" s="170"/>
      <c r="AE64" s="170"/>
      <c r="AF64" s="170"/>
      <c r="AG64" s="170"/>
      <c r="AH64" s="170"/>
      <c r="AI64" s="170"/>
      <c r="AJ64" s="170"/>
      <c r="AK64" s="170"/>
      <c r="AL64" s="170"/>
      <c r="AM64" s="170"/>
      <c r="AN64" s="170"/>
      <c r="AO64" s="170"/>
    </row>
    <row r="65" ht="14.25" customHeight="1">
      <c r="A65" s="88"/>
      <c r="B65" s="171" t="s">
        <v>87</v>
      </c>
      <c r="C65" s="172"/>
      <c r="D65" s="172"/>
      <c r="E65" s="96"/>
      <c r="F65" s="125"/>
      <c r="G65" s="173"/>
      <c r="H65" s="125">
        <f t="shared" si="20"/>
        <v>49</v>
      </c>
      <c r="I65" s="97">
        <f t="shared" si="18"/>
        <v>4289.139272</v>
      </c>
      <c r="J65" s="97">
        <f t="shared" si="19"/>
        <v>1234.388173</v>
      </c>
      <c r="K65" s="97">
        <f t="shared" si="4"/>
        <v>3054.751099</v>
      </c>
      <c r="L65" s="97">
        <f t="shared" si="16"/>
        <v>762461.5886</v>
      </c>
      <c r="M65" s="97">
        <f t="shared" si="17"/>
        <v>55038.41136</v>
      </c>
      <c r="N65" s="97">
        <f t="shared" si="5"/>
        <v>155121.2109</v>
      </c>
      <c r="O65" s="104">
        <f t="shared" si="14"/>
        <v>49</v>
      </c>
      <c r="P65" s="105">
        <f t="shared" si="6"/>
        <v>733.2993644</v>
      </c>
      <c r="Q65" s="105">
        <f t="shared" si="7"/>
        <v>491.9539202</v>
      </c>
      <c r="R65" s="105">
        <f t="shared" si="8"/>
        <v>241.3454442</v>
      </c>
      <c r="S65" s="105">
        <f t="shared" si="9"/>
        <v>57430.95268</v>
      </c>
      <c r="T65" s="105">
        <f t="shared" si="10"/>
        <v>21854.04732</v>
      </c>
      <c r="U65" s="105">
        <f t="shared" si="11"/>
        <v>14077.62153</v>
      </c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</row>
    <row r="66" ht="14.25" customHeight="1">
      <c r="A66" s="125"/>
      <c r="B66" s="154"/>
      <c r="C66" s="154"/>
      <c r="D66" s="154"/>
      <c r="E66" s="125"/>
      <c r="F66" s="125"/>
      <c r="G66" s="125"/>
      <c r="H66" s="125">
        <f t="shared" si="20"/>
        <v>50</v>
      </c>
      <c r="I66" s="97">
        <f t="shared" si="18"/>
        <v>4289.139272</v>
      </c>
      <c r="J66" s="97">
        <f t="shared" si="19"/>
        <v>1239.325726</v>
      </c>
      <c r="K66" s="97">
        <f t="shared" si="4"/>
        <v>3049.813546</v>
      </c>
      <c r="L66" s="97">
        <f t="shared" si="16"/>
        <v>761222.2629</v>
      </c>
      <c r="M66" s="97">
        <f t="shared" si="17"/>
        <v>56277.73709</v>
      </c>
      <c r="N66" s="97">
        <f t="shared" si="5"/>
        <v>158171.0244</v>
      </c>
      <c r="O66" s="104">
        <f t="shared" si="14"/>
        <v>50</v>
      </c>
      <c r="P66" s="105">
        <f t="shared" si="6"/>
        <v>733.2993644</v>
      </c>
      <c r="Q66" s="105">
        <f t="shared" si="7"/>
        <v>494.0037282</v>
      </c>
      <c r="R66" s="105">
        <f t="shared" si="8"/>
        <v>239.2956362</v>
      </c>
      <c r="S66" s="105">
        <f t="shared" si="9"/>
        <v>56936.94895</v>
      </c>
      <c r="T66" s="105">
        <f t="shared" si="10"/>
        <v>22348.05105</v>
      </c>
      <c r="U66" s="105">
        <f t="shared" si="11"/>
        <v>14316.91717</v>
      </c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</row>
    <row r="67" ht="14.25" customHeight="1">
      <c r="A67" s="125"/>
      <c r="B67" s="174" t="s">
        <v>88</v>
      </c>
      <c r="C67" s="125"/>
      <c r="D67" s="125"/>
      <c r="E67" s="125"/>
      <c r="F67" s="125"/>
      <c r="G67" s="125"/>
      <c r="H67" s="125">
        <f t="shared" si="20"/>
        <v>51</v>
      </c>
      <c r="I67" s="97">
        <f t="shared" si="18"/>
        <v>4289.139272</v>
      </c>
      <c r="J67" s="97">
        <f t="shared" si="19"/>
        <v>1244.283028</v>
      </c>
      <c r="K67" s="97">
        <f t="shared" si="4"/>
        <v>3044.856243</v>
      </c>
      <c r="L67" s="97">
        <f t="shared" si="16"/>
        <v>759977.9799</v>
      </c>
      <c r="M67" s="97">
        <f t="shared" si="17"/>
        <v>57522.02012</v>
      </c>
      <c r="N67" s="97">
        <f t="shared" si="5"/>
        <v>161215.8806</v>
      </c>
      <c r="O67" s="104">
        <f t="shared" si="14"/>
        <v>51</v>
      </c>
      <c r="P67" s="105">
        <f t="shared" si="6"/>
        <v>733.2993644</v>
      </c>
      <c r="Q67" s="105">
        <f t="shared" si="7"/>
        <v>496.0620771</v>
      </c>
      <c r="R67" s="105">
        <f t="shared" si="8"/>
        <v>237.2372873</v>
      </c>
      <c r="S67" s="105">
        <f t="shared" si="9"/>
        <v>56440.88687</v>
      </c>
      <c r="T67" s="105">
        <f t="shared" si="10"/>
        <v>22844.11313</v>
      </c>
      <c r="U67" s="105">
        <f t="shared" si="11"/>
        <v>14554.15446</v>
      </c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r="68" ht="14.25" customHeight="1">
      <c r="A68" s="125"/>
      <c r="B68" s="175"/>
      <c r="C68" s="125"/>
      <c r="D68" s="125"/>
      <c r="E68" s="125"/>
      <c r="F68" s="125"/>
      <c r="G68" s="125"/>
      <c r="H68" s="125">
        <f t="shared" si="20"/>
        <v>52</v>
      </c>
      <c r="I68" s="97">
        <f t="shared" si="18"/>
        <v>4289.139272</v>
      </c>
      <c r="J68" s="97">
        <f t="shared" si="19"/>
        <v>1249.260161</v>
      </c>
      <c r="K68" s="97">
        <f t="shared" si="4"/>
        <v>3039.879111</v>
      </c>
      <c r="L68" s="97">
        <f t="shared" si="16"/>
        <v>758728.7197</v>
      </c>
      <c r="M68" s="97">
        <f t="shared" si="17"/>
        <v>58771.28028</v>
      </c>
      <c r="N68" s="97">
        <f t="shared" si="5"/>
        <v>164255.7598</v>
      </c>
      <c r="O68" s="104">
        <f t="shared" si="14"/>
        <v>52</v>
      </c>
      <c r="P68" s="105">
        <f t="shared" si="6"/>
        <v>733.2993644</v>
      </c>
      <c r="Q68" s="105">
        <f t="shared" si="7"/>
        <v>498.1290024</v>
      </c>
      <c r="R68" s="105">
        <f t="shared" si="8"/>
        <v>235.170362</v>
      </c>
      <c r="S68" s="105">
        <f t="shared" si="9"/>
        <v>55942.75787</v>
      </c>
      <c r="T68" s="105">
        <f t="shared" si="10"/>
        <v>23342.24213</v>
      </c>
      <c r="U68" s="105">
        <f t="shared" si="11"/>
        <v>14789.32482</v>
      </c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</row>
    <row r="69" ht="14.25" customHeight="1" outlineLevel="1">
      <c r="A69" s="125"/>
      <c r="B69" s="146"/>
      <c r="C69" s="146"/>
      <c r="D69" s="146"/>
      <c r="E69" s="125"/>
      <c r="F69" s="125"/>
      <c r="G69" s="125"/>
      <c r="H69" s="125">
        <f t="shared" si="20"/>
        <v>53</v>
      </c>
      <c r="I69" s="97">
        <f t="shared" si="18"/>
        <v>4289.139272</v>
      </c>
      <c r="J69" s="97">
        <f t="shared" si="19"/>
        <v>1254.257201</v>
      </c>
      <c r="K69" s="97">
        <f t="shared" si="4"/>
        <v>3034.882071</v>
      </c>
      <c r="L69" s="97">
        <f t="shared" si="16"/>
        <v>757474.4625</v>
      </c>
      <c r="M69" s="97">
        <f t="shared" si="17"/>
        <v>60025.53748</v>
      </c>
      <c r="N69" s="97">
        <f t="shared" si="5"/>
        <v>167290.6418</v>
      </c>
      <c r="O69" s="104">
        <f t="shared" si="14"/>
        <v>53</v>
      </c>
      <c r="P69" s="105">
        <f t="shared" si="6"/>
        <v>733.2993644</v>
      </c>
      <c r="Q69" s="105">
        <f t="shared" si="7"/>
        <v>500.2045399</v>
      </c>
      <c r="R69" s="105">
        <f t="shared" si="8"/>
        <v>233.0948245</v>
      </c>
      <c r="S69" s="105">
        <f t="shared" si="9"/>
        <v>55442.55333</v>
      </c>
      <c r="T69" s="105">
        <f t="shared" si="10"/>
        <v>23842.44667</v>
      </c>
      <c r="U69" s="105">
        <f t="shared" si="11"/>
        <v>15022.41964</v>
      </c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</row>
    <row r="70" ht="14.25" customHeight="1" outlineLevel="1">
      <c r="A70" s="88"/>
      <c r="B70" s="95" t="s">
        <v>3</v>
      </c>
      <c r="C70" s="95" t="s">
        <v>89</v>
      </c>
      <c r="D70" s="95" t="s">
        <v>90</v>
      </c>
      <c r="E70" s="96"/>
      <c r="F70" s="125"/>
      <c r="G70" s="125"/>
      <c r="H70" s="125">
        <f t="shared" si="20"/>
        <v>54</v>
      </c>
      <c r="I70" s="97">
        <f t="shared" si="18"/>
        <v>4289.139272</v>
      </c>
      <c r="J70" s="97">
        <f t="shared" si="19"/>
        <v>1259.27423</v>
      </c>
      <c r="K70" s="97">
        <f t="shared" si="4"/>
        <v>3029.865042</v>
      </c>
      <c r="L70" s="97">
        <f t="shared" si="16"/>
        <v>756215.1883</v>
      </c>
      <c r="M70" s="97">
        <f t="shared" si="17"/>
        <v>61284.81171</v>
      </c>
      <c r="N70" s="97">
        <f t="shared" si="5"/>
        <v>170320.5069</v>
      </c>
      <c r="O70" s="104">
        <f t="shared" si="14"/>
        <v>54</v>
      </c>
      <c r="P70" s="105">
        <f t="shared" si="6"/>
        <v>733.2993644</v>
      </c>
      <c r="Q70" s="105">
        <f t="shared" si="7"/>
        <v>502.2887255</v>
      </c>
      <c r="R70" s="105">
        <f t="shared" si="8"/>
        <v>231.0106389</v>
      </c>
      <c r="S70" s="105">
        <f t="shared" si="9"/>
        <v>54940.2646</v>
      </c>
      <c r="T70" s="105">
        <f t="shared" si="10"/>
        <v>24344.7354</v>
      </c>
      <c r="U70" s="105">
        <f t="shared" si="11"/>
        <v>15253.43028</v>
      </c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</row>
    <row r="71" ht="14.25" customHeight="1" outlineLevel="1">
      <c r="A71" s="88"/>
      <c r="B71" s="101" t="s">
        <v>91</v>
      </c>
      <c r="C71" s="160"/>
      <c r="D71" s="124"/>
      <c r="E71" s="96"/>
      <c r="F71" s="125"/>
      <c r="G71" s="125"/>
      <c r="H71" s="125">
        <f t="shared" si="20"/>
        <v>55</v>
      </c>
      <c r="I71" s="97">
        <f t="shared" si="18"/>
        <v>4289.139272</v>
      </c>
      <c r="J71" s="97">
        <f t="shared" si="19"/>
        <v>1264.311327</v>
      </c>
      <c r="K71" s="97">
        <f t="shared" si="4"/>
        <v>3024.827945</v>
      </c>
      <c r="L71" s="97">
        <f t="shared" si="16"/>
        <v>754950.877</v>
      </c>
      <c r="M71" s="97">
        <f t="shared" si="17"/>
        <v>62549.12303</v>
      </c>
      <c r="N71" s="97">
        <f t="shared" si="5"/>
        <v>173345.3348</v>
      </c>
      <c r="O71" s="104">
        <f t="shared" si="14"/>
        <v>55</v>
      </c>
      <c r="P71" s="105">
        <f t="shared" si="6"/>
        <v>733.2993644</v>
      </c>
      <c r="Q71" s="105">
        <f t="shared" si="7"/>
        <v>504.3815952</v>
      </c>
      <c r="R71" s="105">
        <f t="shared" si="8"/>
        <v>228.9177692</v>
      </c>
      <c r="S71" s="105">
        <f t="shared" si="9"/>
        <v>54435.88301</v>
      </c>
      <c r="T71" s="105">
        <f t="shared" si="10"/>
        <v>24849.11699</v>
      </c>
      <c r="U71" s="105">
        <f t="shared" si="11"/>
        <v>15482.34805</v>
      </c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</row>
    <row r="72" ht="14.25" customHeight="1">
      <c r="A72" s="88"/>
      <c r="B72" s="101" t="s">
        <v>92</v>
      </c>
      <c r="C72" s="160"/>
      <c r="D72" s="124"/>
      <c r="F72" s="125"/>
      <c r="G72" s="176"/>
      <c r="H72" s="125">
        <f t="shared" si="20"/>
        <v>56</v>
      </c>
      <c r="I72" s="97">
        <f t="shared" si="18"/>
        <v>4289.139272</v>
      </c>
      <c r="J72" s="97">
        <f t="shared" si="19"/>
        <v>1269.368572</v>
      </c>
      <c r="K72" s="97">
        <f t="shared" si="4"/>
        <v>3019.770699</v>
      </c>
      <c r="L72" s="97">
        <f t="shared" si="16"/>
        <v>753681.5084</v>
      </c>
      <c r="M72" s="97">
        <f t="shared" si="17"/>
        <v>63818.49161</v>
      </c>
      <c r="N72" s="97">
        <f t="shared" si="5"/>
        <v>176365.1055</v>
      </c>
      <c r="O72" s="104">
        <f t="shared" si="14"/>
        <v>56</v>
      </c>
      <c r="P72" s="105">
        <f t="shared" si="6"/>
        <v>733.2993644</v>
      </c>
      <c r="Q72" s="105">
        <f t="shared" si="7"/>
        <v>506.4831852</v>
      </c>
      <c r="R72" s="105">
        <f t="shared" si="8"/>
        <v>226.8161792</v>
      </c>
      <c r="S72" s="105">
        <f t="shared" si="9"/>
        <v>53929.39982</v>
      </c>
      <c r="T72" s="105">
        <f t="shared" si="10"/>
        <v>25355.60018</v>
      </c>
      <c r="U72" s="105">
        <f t="shared" si="11"/>
        <v>15709.16423</v>
      </c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</row>
    <row r="73" ht="14.25" customHeight="1">
      <c r="A73" s="88"/>
      <c r="B73" s="101" t="s">
        <v>93</v>
      </c>
      <c r="C73" s="160">
        <v>12.0</v>
      </c>
      <c r="D73" s="161">
        <v>5000.0</v>
      </c>
      <c r="E73" s="177" t="s">
        <v>94</v>
      </c>
      <c r="F73" s="125"/>
      <c r="G73" s="125"/>
      <c r="H73" s="125">
        <f t="shared" si="20"/>
        <v>57</v>
      </c>
      <c r="I73" s="97">
        <f t="shared" si="18"/>
        <v>4289.139272</v>
      </c>
      <c r="J73" s="97">
        <f t="shared" si="19"/>
        <v>1274.446047</v>
      </c>
      <c r="K73" s="97">
        <f t="shared" si="4"/>
        <v>3014.693225</v>
      </c>
      <c r="L73" s="97">
        <f t="shared" si="16"/>
        <v>752407.0623</v>
      </c>
      <c r="M73" s="97">
        <f t="shared" si="17"/>
        <v>65092.93765</v>
      </c>
      <c r="N73" s="97">
        <f t="shared" si="5"/>
        <v>179379.7987</v>
      </c>
      <c r="O73" s="104">
        <f t="shared" si="14"/>
        <v>57</v>
      </c>
      <c r="P73" s="105">
        <f t="shared" si="6"/>
        <v>733.2993644</v>
      </c>
      <c r="Q73" s="105">
        <f t="shared" si="7"/>
        <v>508.5935318</v>
      </c>
      <c r="R73" s="105">
        <f t="shared" si="8"/>
        <v>224.7058326</v>
      </c>
      <c r="S73" s="105">
        <f t="shared" si="9"/>
        <v>53420.80629</v>
      </c>
      <c r="T73" s="105">
        <f t="shared" si="10"/>
        <v>25864.19371</v>
      </c>
      <c r="U73" s="105">
        <f t="shared" si="11"/>
        <v>15933.87006</v>
      </c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</row>
    <row r="74" ht="14.25" customHeight="1">
      <c r="A74" s="88"/>
      <c r="B74" s="101" t="s">
        <v>95</v>
      </c>
      <c r="C74" s="160"/>
      <c r="D74" s="124"/>
      <c r="E74" s="178"/>
      <c r="F74" s="125"/>
      <c r="G74" s="125"/>
      <c r="H74" s="125">
        <f t="shared" si="20"/>
        <v>58</v>
      </c>
      <c r="I74" s="97">
        <f t="shared" si="18"/>
        <v>4289.139272</v>
      </c>
      <c r="J74" s="97">
        <f t="shared" si="19"/>
        <v>1279.543831</v>
      </c>
      <c r="K74" s="97">
        <f t="shared" si="4"/>
        <v>3009.595441</v>
      </c>
      <c r="L74" s="97">
        <f t="shared" si="16"/>
        <v>751127.5185</v>
      </c>
      <c r="M74" s="97">
        <f t="shared" si="17"/>
        <v>66372.48148</v>
      </c>
      <c r="N74" s="97">
        <f t="shared" si="5"/>
        <v>182389.3942</v>
      </c>
      <c r="O74" s="104">
        <f t="shared" si="14"/>
        <v>58</v>
      </c>
      <c r="P74" s="105">
        <f t="shared" si="6"/>
        <v>733.2993644</v>
      </c>
      <c r="Q74" s="105">
        <f t="shared" si="7"/>
        <v>510.7126715</v>
      </c>
      <c r="R74" s="105">
        <f t="shared" si="8"/>
        <v>222.5866929</v>
      </c>
      <c r="S74" s="105">
        <f t="shared" si="9"/>
        <v>52910.09362</v>
      </c>
      <c r="T74" s="105">
        <f t="shared" si="10"/>
        <v>26374.90638</v>
      </c>
      <c r="U74" s="105">
        <f t="shared" si="11"/>
        <v>16156.45676</v>
      </c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</row>
    <row r="75" ht="14.25" customHeight="1">
      <c r="A75" s="88"/>
      <c r="B75" s="171" t="s">
        <v>96</v>
      </c>
      <c r="C75" s="164">
        <v>60.0</v>
      </c>
      <c r="D75" s="144">
        <f>D71*C71+D72*C72+D73*C73</f>
        <v>60000</v>
      </c>
      <c r="E75" s="96"/>
      <c r="F75" s="125"/>
      <c r="G75" s="125"/>
      <c r="H75" s="125">
        <f t="shared" si="20"/>
        <v>59</v>
      </c>
      <c r="I75" s="97">
        <f t="shared" si="18"/>
        <v>4289.139272</v>
      </c>
      <c r="J75" s="97">
        <f t="shared" si="19"/>
        <v>1284.662006</v>
      </c>
      <c r="K75" s="97">
        <f t="shared" si="4"/>
        <v>3004.477266</v>
      </c>
      <c r="L75" s="97">
        <f t="shared" si="16"/>
        <v>749842.8565</v>
      </c>
      <c r="M75" s="97">
        <f t="shared" si="17"/>
        <v>67657.14349</v>
      </c>
      <c r="N75" s="97">
        <f t="shared" si="5"/>
        <v>185393.8714</v>
      </c>
      <c r="O75" s="104">
        <f t="shared" si="14"/>
        <v>59</v>
      </c>
      <c r="P75" s="105">
        <f t="shared" si="6"/>
        <v>733.2993644</v>
      </c>
      <c r="Q75" s="105">
        <f t="shared" si="7"/>
        <v>512.840641</v>
      </c>
      <c r="R75" s="105">
        <f t="shared" si="8"/>
        <v>220.4587234</v>
      </c>
      <c r="S75" s="105">
        <f t="shared" si="9"/>
        <v>52397.25298</v>
      </c>
      <c r="T75" s="105">
        <f t="shared" si="10"/>
        <v>26887.74702</v>
      </c>
      <c r="U75" s="105">
        <f t="shared" si="11"/>
        <v>16376.91548</v>
      </c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</row>
    <row r="76" ht="14.25" customHeight="1">
      <c r="A76" s="125"/>
      <c r="B76" s="141"/>
      <c r="C76" s="145"/>
      <c r="D76" s="141"/>
      <c r="E76" s="125"/>
      <c r="F76" s="125"/>
      <c r="G76" s="179"/>
      <c r="H76" s="125">
        <f t="shared" si="20"/>
        <v>60</v>
      </c>
      <c r="I76" s="97">
        <f t="shared" si="18"/>
        <v>4289.139272</v>
      </c>
      <c r="J76" s="97">
        <f t="shared" si="19"/>
        <v>1289.800654</v>
      </c>
      <c r="K76" s="97">
        <f t="shared" si="4"/>
        <v>2999.338618</v>
      </c>
      <c r="L76" s="97">
        <f t="shared" si="16"/>
        <v>748553.0559</v>
      </c>
      <c r="M76" s="97">
        <f t="shared" si="17"/>
        <v>68946.94414</v>
      </c>
      <c r="N76" s="97">
        <f t="shared" si="5"/>
        <v>188393.2101</v>
      </c>
      <c r="O76" s="104">
        <f t="shared" si="14"/>
        <v>60</v>
      </c>
      <c r="P76" s="105">
        <f t="shared" si="6"/>
        <v>733.2993644</v>
      </c>
      <c r="Q76" s="105">
        <f t="shared" si="7"/>
        <v>514.977477</v>
      </c>
      <c r="R76" s="105">
        <f t="shared" si="8"/>
        <v>218.3218874</v>
      </c>
      <c r="S76" s="105">
        <f t="shared" si="9"/>
        <v>51882.2755</v>
      </c>
      <c r="T76" s="105">
        <f t="shared" si="10"/>
        <v>27402.7245</v>
      </c>
      <c r="U76" s="105">
        <f t="shared" si="11"/>
        <v>16595.23737</v>
      </c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</row>
    <row r="77" ht="14.25" customHeight="1">
      <c r="A77" s="125"/>
      <c r="B77" s="180" t="s">
        <v>97</v>
      </c>
      <c r="C77" s="181">
        <f>12*((D73-D62-D63)/D50)</f>
        <v>0.1741123895</v>
      </c>
      <c r="D77" s="96"/>
      <c r="E77" s="125"/>
      <c r="F77" s="125"/>
      <c r="G77" s="179"/>
      <c r="H77" s="125">
        <f t="shared" si="20"/>
        <v>61</v>
      </c>
      <c r="I77" s="97">
        <f t="shared" si="18"/>
        <v>4289.139272</v>
      </c>
      <c r="J77" s="97">
        <f t="shared" si="19"/>
        <v>1294.959857</v>
      </c>
      <c r="K77" s="97">
        <f t="shared" si="4"/>
        <v>2994.179415</v>
      </c>
      <c r="L77" s="97">
        <f t="shared" si="16"/>
        <v>747258.096</v>
      </c>
      <c r="M77" s="97">
        <f t="shared" si="17"/>
        <v>70241.904</v>
      </c>
      <c r="N77" s="97">
        <f t="shared" si="5"/>
        <v>191387.3895</v>
      </c>
      <c r="O77" s="104">
        <f t="shared" si="14"/>
        <v>61</v>
      </c>
      <c r="P77" s="105">
        <f t="shared" si="6"/>
        <v>733.2993644</v>
      </c>
      <c r="Q77" s="105">
        <f t="shared" si="7"/>
        <v>517.1232165</v>
      </c>
      <c r="R77" s="105">
        <f t="shared" si="8"/>
        <v>216.1761479</v>
      </c>
      <c r="S77" s="105">
        <f t="shared" si="9"/>
        <v>51365.15229</v>
      </c>
      <c r="T77" s="105">
        <f t="shared" si="10"/>
        <v>27919.84771</v>
      </c>
      <c r="U77" s="105">
        <f t="shared" si="11"/>
        <v>16811.41351</v>
      </c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</row>
    <row r="78" ht="14.25" customHeight="1">
      <c r="A78" s="125"/>
      <c r="B78" s="166"/>
      <c r="C78" s="182"/>
      <c r="D78" s="125"/>
      <c r="E78" s="125"/>
      <c r="F78" s="125"/>
      <c r="G78" s="125"/>
      <c r="H78" s="125">
        <f t="shared" si="20"/>
        <v>62</v>
      </c>
      <c r="I78" s="97">
        <f t="shared" si="18"/>
        <v>4289.139272</v>
      </c>
      <c r="J78" s="97">
        <f t="shared" si="19"/>
        <v>1300.139696</v>
      </c>
      <c r="K78" s="97">
        <f t="shared" si="4"/>
        <v>2988.999576</v>
      </c>
      <c r="L78" s="97">
        <f t="shared" si="16"/>
        <v>745957.9563</v>
      </c>
      <c r="M78" s="97">
        <f t="shared" si="17"/>
        <v>71542.0437</v>
      </c>
      <c r="N78" s="97">
        <f t="shared" si="5"/>
        <v>194376.3891</v>
      </c>
      <c r="O78" s="104">
        <f t="shared" si="14"/>
        <v>62</v>
      </c>
      <c r="P78" s="105">
        <f t="shared" si="6"/>
        <v>733.2993644</v>
      </c>
      <c r="Q78" s="105">
        <f t="shared" si="7"/>
        <v>519.2778965</v>
      </c>
      <c r="R78" s="105">
        <f t="shared" si="8"/>
        <v>214.0214679</v>
      </c>
      <c r="S78" s="105">
        <f t="shared" si="9"/>
        <v>50845.87439</v>
      </c>
      <c r="T78" s="105">
        <f t="shared" si="10"/>
        <v>28439.12561</v>
      </c>
      <c r="U78" s="105">
        <f t="shared" si="11"/>
        <v>17025.43498</v>
      </c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</row>
    <row r="79" ht="14.25" customHeight="1">
      <c r="A79" s="125"/>
      <c r="B79" s="183" t="s">
        <v>98</v>
      </c>
      <c r="C79" s="184">
        <f>D73*12/D49</f>
        <v>0.05163044647</v>
      </c>
      <c r="D79" s="185"/>
      <c r="G79" s="125"/>
      <c r="H79" s="125">
        <f t="shared" si="20"/>
        <v>63</v>
      </c>
      <c r="I79" s="97">
        <f t="shared" si="18"/>
        <v>4289.139272</v>
      </c>
      <c r="J79" s="97">
        <f t="shared" si="19"/>
        <v>1305.340255</v>
      </c>
      <c r="K79" s="97">
        <f t="shared" si="4"/>
        <v>2983.799017</v>
      </c>
      <c r="L79" s="97">
        <f t="shared" si="16"/>
        <v>744652.616</v>
      </c>
      <c r="M79" s="97">
        <f t="shared" si="17"/>
        <v>72847.38395</v>
      </c>
      <c r="N79" s="97">
        <f t="shared" si="5"/>
        <v>197360.1881</v>
      </c>
      <c r="O79" s="104">
        <f t="shared" si="14"/>
        <v>63</v>
      </c>
      <c r="P79" s="105">
        <f t="shared" si="6"/>
        <v>733.2993644</v>
      </c>
      <c r="Q79" s="105">
        <f t="shared" si="7"/>
        <v>521.4415544</v>
      </c>
      <c r="R79" s="105">
        <f t="shared" si="8"/>
        <v>211.85781</v>
      </c>
      <c r="S79" s="105">
        <f t="shared" si="9"/>
        <v>50324.43284</v>
      </c>
      <c r="T79" s="105">
        <f t="shared" si="10"/>
        <v>28960.56716</v>
      </c>
      <c r="U79" s="105">
        <f t="shared" si="11"/>
        <v>17237.29279</v>
      </c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</row>
    <row r="80" ht="14.25" customHeight="1" outlineLevel="1">
      <c r="A80" s="125"/>
      <c r="G80" s="125"/>
      <c r="H80" s="125">
        <f t="shared" si="20"/>
        <v>64</v>
      </c>
      <c r="I80" s="97">
        <f t="shared" si="18"/>
        <v>4289.139272</v>
      </c>
      <c r="J80" s="97">
        <f t="shared" si="19"/>
        <v>1310.561616</v>
      </c>
      <c r="K80" s="97">
        <f t="shared" si="4"/>
        <v>2978.577656</v>
      </c>
      <c r="L80" s="97">
        <f t="shared" si="16"/>
        <v>743342.0544</v>
      </c>
      <c r="M80" s="97">
        <f t="shared" si="17"/>
        <v>74157.94557</v>
      </c>
      <c r="N80" s="97">
        <f t="shared" si="5"/>
        <v>200338.7657</v>
      </c>
      <c r="O80" s="104">
        <f t="shared" si="14"/>
        <v>64</v>
      </c>
      <c r="P80" s="105">
        <f t="shared" si="6"/>
        <v>733.2993644</v>
      </c>
      <c r="Q80" s="105">
        <f t="shared" si="7"/>
        <v>523.6142276</v>
      </c>
      <c r="R80" s="105">
        <f t="shared" si="8"/>
        <v>209.6851368</v>
      </c>
      <c r="S80" s="105">
        <f t="shared" si="9"/>
        <v>49800.81861</v>
      </c>
      <c r="T80" s="105">
        <f t="shared" si="10"/>
        <v>29484.18139</v>
      </c>
      <c r="U80" s="105">
        <f t="shared" si="11"/>
        <v>17446.97793</v>
      </c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</row>
    <row r="81" ht="14.25" customHeight="1" outlineLevel="1">
      <c r="A81" s="88"/>
      <c r="B81" s="186" t="s">
        <v>99</v>
      </c>
      <c r="D81" s="187"/>
      <c r="G81" s="125"/>
      <c r="H81" s="125">
        <f t="shared" si="20"/>
        <v>65</v>
      </c>
      <c r="I81" s="97">
        <f t="shared" si="18"/>
        <v>4289.139272</v>
      </c>
      <c r="J81" s="97">
        <f t="shared" si="19"/>
        <v>1315.803862</v>
      </c>
      <c r="K81" s="97">
        <f t="shared" si="4"/>
        <v>2973.335409</v>
      </c>
      <c r="L81" s="97">
        <f t="shared" si="16"/>
        <v>742026.2506</v>
      </c>
      <c r="M81" s="97">
        <f t="shared" si="17"/>
        <v>75473.74943</v>
      </c>
      <c r="N81" s="97">
        <f t="shared" si="5"/>
        <v>203312.1011</v>
      </c>
      <c r="O81" s="104">
        <f t="shared" si="14"/>
        <v>65</v>
      </c>
      <c r="P81" s="105">
        <f t="shared" si="6"/>
        <v>733.2993644</v>
      </c>
      <c r="Q81" s="105">
        <f t="shared" si="7"/>
        <v>525.7959535</v>
      </c>
      <c r="R81" s="105">
        <f t="shared" si="8"/>
        <v>207.5034109</v>
      </c>
      <c r="S81" s="105">
        <f t="shared" si="9"/>
        <v>49275.02265</v>
      </c>
      <c r="T81" s="105">
        <f t="shared" si="10"/>
        <v>30009.97735</v>
      </c>
      <c r="U81" s="105">
        <f t="shared" si="11"/>
        <v>17654.48134</v>
      </c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</row>
    <row r="82" ht="14.25" customHeight="1" outlineLevel="1">
      <c r="A82" s="188"/>
      <c r="B82" s="189" t="s">
        <v>100</v>
      </c>
      <c r="C82" s="24"/>
      <c r="D82" s="24"/>
      <c r="E82" s="25"/>
      <c r="F82" s="187"/>
      <c r="G82" s="96"/>
      <c r="H82" s="125">
        <f t="shared" si="20"/>
        <v>66</v>
      </c>
      <c r="I82" s="97">
        <f t="shared" si="18"/>
        <v>4289.139272</v>
      </c>
      <c r="J82" s="97">
        <f t="shared" si="19"/>
        <v>1321.067078</v>
      </c>
      <c r="K82" s="97">
        <f t="shared" si="4"/>
        <v>2968.072194</v>
      </c>
      <c r="L82" s="97">
        <f t="shared" si="16"/>
        <v>740705.1835</v>
      </c>
      <c r="M82" s="97">
        <f t="shared" si="17"/>
        <v>76794.81651</v>
      </c>
      <c r="N82" s="97">
        <f t="shared" si="5"/>
        <v>206280.1733</v>
      </c>
      <c r="O82" s="104">
        <f t="shared" si="14"/>
        <v>66</v>
      </c>
      <c r="P82" s="105">
        <f t="shared" si="6"/>
        <v>733.2993644</v>
      </c>
      <c r="Q82" s="105">
        <f t="shared" si="7"/>
        <v>527.98677</v>
      </c>
      <c r="R82" s="105">
        <f t="shared" si="8"/>
        <v>205.3125944</v>
      </c>
      <c r="S82" s="105">
        <f t="shared" si="9"/>
        <v>48747.03588</v>
      </c>
      <c r="T82" s="105">
        <f t="shared" si="10"/>
        <v>30537.96412</v>
      </c>
      <c r="U82" s="105">
        <f t="shared" si="11"/>
        <v>17859.79393</v>
      </c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</row>
    <row r="83" ht="14.25" customHeight="1" outlineLevel="1">
      <c r="B83" s="183" t="s">
        <v>101</v>
      </c>
      <c r="C83" s="183" t="s">
        <v>102</v>
      </c>
      <c r="D83" s="183" t="s">
        <v>103</v>
      </c>
      <c r="E83" s="183" t="s">
        <v>102</v>
      </c>
      <c r="F83" s="187"/>
      <c r="G83" s="96"/>
      <c r="H83" s="125">
        <f t="shared" si="20"/>
        <v>67</v>
      </c>
      <c r="I83" s="97">
        <f t="shared" si="18"/>
        <v>4289.139272</v>
      </c>
      <c r="J83" s="97">
        <f t="shared" si="19"/>
        <v>1326.351346</v>
      </c>
      <c r="K83" s="97">
        <f t="shared" si="4"/>
        <v>2962.787926</v>
      </c>
      <c r="L83" s="97">
        <f t="shared" si="16"/>
        <v>739378.8321</v>
      </c>
      <c r="M83" s="97">
        <f t="shared" si="17"/>
        <v>78121.16785</v>
      </c>
      <c r="N83" s="97">
        <f t="shared" si="5"/>
        <v>209242.9613</v>
      </c>
      <c r="O83" s="104">
        <f t="shared" si="14"/>
        <v>67</v>
      </c>
      <c r="P83" s="105">
        <f t="shared" si="6"/>
        <v>733.2993644</v>
      </c>
      <c r="Q83" s="105">
        <f t="shared" si="7"/>
        <v>530.1867149</v>
      </c>
      <c r="R83" s="105">
        <f t="shared" si="8"/>
        <v>203.1126495</v>
      </c>
      <c r="S83" s="105">
        <f t="shared" si="9"/>
        <v>48216.84917</v>
      </c>
      <c r="T83" s="105">
        <f t="shared" si="10"/>
        <v>31068.15083</v>
      </c>
      <c r="U83" s="105">
        <f t="shared" si="11"/>
        <v>18062.90658</v>
      </c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</row>
    <row r="84" ht="14.25" customHeight="1">
      <c r="A84" s="190" t="s">
        <v>104</v>
      </c>
      <c r="B84" s="191">
        <v>1250000.0</v>
      </c>
      <c r="C84" s="192">
        <f>SUM(B84-D49)</f>
        <v>87895</v>
      </c>
      <c r="D84" s="193">
        <f>B84</f>
        <v>1250000</v>
      </c>
      <c r="E84" s="194">
        <f>SUM(D84-D49)</f>
        <v>87895</v>
      </c>
      <c r="F84" s="195"/>
      <c r="G84" s="96"/>
      <c r="H84" s="125">
        <f t="shared" si="20"/>
        <v>68</v>
      </c>
      <c r="I84" s="97">
        <f t="shared" si="18"/>
        <v>4289.139272</v>
      </c>
      <c r="J84" s="97">
        <f t="shared" si="19"/>
        <v>1331.656752</v>
      </c>
      <c r="K84" s="97">
        <f t="shared" si="4"/>
        <v>2957.48252</v>
      </c>
      <c r="L84" s="97">
        <f t="shared" si="16"/>
        <v>738047.1754</v>
      </c>
      <c r="M84" s="97">
        <f t="shared" si="17"/>
        <v>79452.82461</v>
      </c>
      <c r="N84" s="97">
        <f t="shared" si="5"/>
        <v>212200.4438</v>
      </c>
      <c r="O84" s="104">
        <f t="shared" si="14"/>
        <v>68</v>
      </c>
      <c r="P84" s="105">
        <f t="shared" si="6"/>
        <v>733.2993644</v>
      </c>
      <c r="Q84" s="105">
        <f t="shared" si="7"/>
        <v>532.3958262</v>
      </c>
      <c r="R84" s="105">
        <f t="shared" si="8"/>
        <v>200.9035382</v>
      </c>
      <c r="S84" s="105">
        <f t="shared" si="9"/>
        <v>47684.45334</v>
      </c>
      <c r="T84" s="105">
        <f t="shared" si="10"/>
        <v>31600.54666</v>
      </c>
      <c r="U84" s="105">
        <f t="shared" si="11"/>
        <v>18263.81012</v>
      </c>
      <c r="V84" s="196"/>
      <c r="W84" s="196"/>
      <c r="X84" s="196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</row>
    <row r="85" ht="14.25" customHeight="1">
      <c r="A85" s="197" t="s">
        <v>105</v>
      </c>
      <c r="B85" s="198">
        <f t="shared" ref="B85:B92" si="21">B84*1.035</f>
        <v>1293750</v>
      </c>
      <c r="C85" s="192">
        <f>SUM(B85-D49)</f>
        <v>131645</v>
      </c>
      <c r="D85" s="199">
        <f t="shared" ref="D85:D92" si="22">D84*1.05</f>
        <v>1312500</v>
      </c>
      <c r="E85" s="194">
        <f>SUM(D85-D49)</f>
        <v>150395</v>
      </c>
      <c r="F85" s="195"/>
      <c r="G85" s="96"/>
      <c r="H85" s="125">
        <f t="shared" si="20"/>
        <v>69</v>
      </c>
      <c r="I85" s="97">
        <f t="shared" si="18"/>
        <v>4289.139272</v>
      </c>
      <c r="J85" s="97">
        <f t="shared" si="19"/>
        <v>1336.983379</v>
      </c>
      <c r="K85" s="97">
        <f t="shared" si="4"/>
        <v>2952.155893</v>
      </c>
      <c r="L85" s="97">
        <f t="shared" si="16"/>
        <v>736710.192</v>
      </c>
      <c r="M85" s="97">
        <f t="shared" si="17"/>
        <v>80789.80798</v>
      </c>
      <c r="N85" s="97">
        <f t="shared" si="5"/>
        <v>215152.5997</v>
      </c>
      <c r="O85" s="104">
        <f t="shared" si="14"/>
        <v>69</v>
      </c>
      <c r="P85" s="105">
        <f t="shared" si="6"/>
        <v>733.2993644</v>
      </c>
      <c r="Q85" s="105">
        <f t="shared" si="7"/>
        <v>534.6141421</v>
      </c>
      <c r="R85" s="105">
        <f t="shared" si="8"/>
        <v>198.6852223</v>
      </c>
      <c r="S85" s="105">
        <f t="shared" si="9"/>
        <v>47149.8392</v>
      </c>
      <c r="T85" s="105">
        <f t="shared" si="10"/>
        <v>32135.1608</v>
      </c>
      <c r="U85" s="105">
        <f t="shared" si="11"/>
        <v>18462.49534</v>
      </c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</row>
    <row r="86" ht="14.25" customHeight="1">
      <c r="A86" s="197" t="s">
        <v>106</v>
      </c>
      <c r="B86" s="198">
        <f t="shared" si="21"/>
        <v>1339031.25</v>
      </c>
      <c r="C86" s="192">
        <f>SUM(B86-D49)</f>
        <v>176926.25</v>
      </c>
      <c r="D86" s="199">
        <f t="shared" si="22"/>
        <v>1378125</v>
      </c>
      <c r="E86" s="200">
        <f>SUM(D86-D49)</f>
        <v>216020</v>
      </c>
      <c r="F86" s="201"/>
      <c r="G86" s="96"/>
      <c r="H86" s="125">
        <f t="shared" si="20"/>
        <v>70</v>
      </c>
      <c r="I86" s="97">
        <f t="shared" si="18"/>
        <v>4289.139272</v>
      </c>
      <c r="J86" s="97">
        <f t="shared" si="19"/>
        <v>1342.331312</v>
      </c>
      <c r="K86" s="97">
        <f t="shared" si="4"/>
        <v>2946.80796</v>
      </c>
      <c r="L86" s="97">
        <f t="shared" si="16"/>
        <v>735367.8607</v>
      </c>
      <c r="M86" s="97">
        <f t="shared" si="17"/>
        <v>82132.1393</v>
      </c>
      <c r="N86" s="97">
        <f t="shared" si="5"/>
        <v>218099.4076</v>
      </c>
      <c r="O86" s="104">
        <f t="shared" si="14"/>
        <v>70</v>
      </c>
      <c r="P86" s="105">
        <f t="shared" si="6"/>
        <v>733.2993644</v>
      </c>
      <c r="Q86" s="105">
        <f t="shared" si="7"/>
        <v>536.8417011</v>
      </c>
      <c r="R86" s="105">
        <f t="shared" si="8"/>
        <v>196.4576633</v>
      </c>
      <c r="S86" s="105">
        <f t="shared" si="9"/>
        <v>46612.9975</v>
      </c>
      <c r="T86" s="105">
        <f t="shared" si="10"/>
        <v>32672.0025</v>
      </c>
      <c r="U86" s="105">
        <f t="shared" si="11"/>
        <v>18658.95301</v>
      </c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</row>
    <row r="87" ht="14.25" customHeight="1">
      <c r="A87" s="197" t="s">
        <v>107</v>
      </c>
      <c r="B87" s="198">
        <f t="shared" si="21"/>
        <v>1385897.344</v>
      </c>
      <c r="C87" s="192">
        <f>SUM(B87-D49)</f>
        <v>223792.3438</v>
      </c>
      <c r="D87" s="199">
        <f t="shared" si="22"/>
        <v>1447031.25</v>
      </c>
      <c r="E87" s="194">
        <f>SUM(D87-D49)</f>
        <v>284926.25</v>
      </c>
      <c r="F87" s="195"/>
      <c r="G87" s="96"/>
      <c r="H87" s="125">
        <f t="shared" si="20"/>
        <v>71</v>
      </c>
      <c r="I87" s="97">
        <f t="shared" si="18"/>
        <v>4289.139272</v>
      </c>
      <c r="J87" s="97">
        <f t="shared" si="19"/>
        <v>1347.700637</v>
      </c>
      <c r="K87" s="97">
        <f t="shared" si="4"/>
        <v>2941.438634</v>
      </c>
      <c r="L87" s="97">
        <f t="shared" si="16"/>
        <v>734020.1601</v>
      </c>
      <c r="M87" s="97">
        <f t="shared" si="17"/>
        <v>83479.83993</v>
      </c>
      <c r="N87" s="97">
        <f t="shared" si="5"/>
        <v>221040.8463</v>
      </c>
      <c r="O87" s="104">
        <f t="shared" si="14"/>
        <v>71</v>
      </c>
      <c r="P87" s="105">
        <f t="shared" si="6"/>
        <v>733.2993644</v>
      </c>
      <c r="Q87" s="105">
        <f t="shared" si="7"/>
        <v>539.0785415</v>
      </c>
      <c r="R87" s="105">
        <f t="shared" si="8"/>
        <v>194.2208229</v>
      </c>
      <c r="S87" s="105">
        <f t="shared" si="9"/>
        <v>46073.91896</v>
      </c>
      <c r="T87" s="105">
        <f t="shared" si="10"/>
        <v>33211.08104</v>
      </c>
      <c r="U87" s="105">
        <f t="shared" si="11"/>
        <v>18853.17383</v>
      </c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</row>
    <row r="88" ht="14.25" customHeight="1">
      <c r="A88" s="197" t="s">
        <v>108</v>
      </c>
      <c r="B88" s="198">
        <f t="shared" si="21"/>
        <v>1434403.751</v>
      </c>
      <c r="C88" s="192">
        <f>SUM(B88-D49)</f>
        <v>272298.7508</v>
      </c>
      <c r="D88" s="199">
        <f t="shared" si="22"/>
        <v>1519382.813</v>
      </c>
      <c r="E88" s="194">
        <f>SUM(D88-D49)</f>
        <v>357277.8125</v>
      </c>
      <c r="F88" s="202"/>
      <c r="G88" s="96"/>
      <c r="H88" s="125">
        <f t="shared" si="20"/>
        <v>72</v>
      </c>
      <c r="I88" s="97">
        <f t="shared" si="18"/>
        <v>4289.139272</v>
      </c>
      <c r="J88" s="97">
        <f t="shared" si="19"/>
        <v>1353.09144</v>
      </c>
      <c r="K88" s="97">
        <f t="shared" si="4"/>
        <v>2936.047832</v>
      </c>
      <c r="L88" s="97">
        <f t="shared" si="16"/>
        <v>732667.0686</v>
      </c>
      <c r="M88" s="97">
        <f t="shared" si="17"/>
        <v>84832.93137</v>
      </c>
      <c r="N88" s="97">
        <f t="shared" si="5"/>
        <v>223976.8941</v>
      </c>
      <c r="O88" s="104">
        <f t="shared" si="14"/>
        <v>72</v>
      </c>
      <c r="P88" s="105">
        <f t="shared" si="6"/>
        <v>733.2993644</v>
      </c>
      <c r="Q88" s="105">
        <f t="shared" si="7"/>
        <v>541.3247021</v>
      </c>
      <c r="R88" s="105">
        <f t="shared" si="8"/>
        <v>191.9746623</v>
      </c>
      <c r="S88" s="105">
        <f t="shared" si="9"/>
        <v>45532.59426</v>
      </c>
      <c r="T88" s="105">
        <f t="shared" si="10"/>
        <v>33752.40574</v>
      </c>
      <c r="U88" s="105">
        <f t="shared" si="11"/>
        <v>19045.14849</v>
      </c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</row>
    <row r="89" ht="14.25" customHeight="1">
      <c r="A89" s="197" t="s">
        <v>109</v>
      </c>
      <c r="B89" s="198">
        <f t="shared" si="21"/>
        <v>1484607.882</v>
      </c>
      <c r="C89" s="192">
        <f>SUM(B89-D49)</f>
        <v>322502.8821</v>
      </c>
      <c r="D89" s="199">
        <f t="shared" si="22"/>
        <v>1595351.953</v>
      </c>
      <c r="E89" s="200">
        <f>SUM(D89-D49)</f>
        <v>433246.9531</v>
      </c>
      <c r="F89" s="132"/>
      <c r="G89" s="96"/>
      <c r="H89" s="125">
        <f t="shared" si="20"/>
        <v>73</v>
      </c>
      <c r="I89" s="97">
        <f t="shared" si="18"/>
        <v>4289.139272</v>
      </c>
      <c r="J89" s="97">
        <f t="shared" si="19"/>
        <v>1358.503806</v>
      </c>
      <c r="K89" s="97">
        <f t="shared" si="4"/>
        <v>2930.635466</v>
      </c>
      <c r="L89" s="97">
        <f t="shared" si="16"/>
        <v>731308.5648</v>
      </c>
      <c r="M89" s="97">
        <f t="shared" si="17"/>
        <v>86191.43518</v>
      </c>
      <c r="N89" s="97">
        <f t="shared" si="5"/>
        <v>226907.5296</v>
      </c>
      <c r="O89" s="104">
        <f t="shared" si="14"/>
        <v>73</v>
      </c>
      <c r="P89" s="105">
        <f t="shared" si="6"/>
        <v>733.2993644</v>
      </c>
      <c r="Q89" s="105">
        <f t="shared" si="7"/>
        <v>543.5802217</v>
      </c>
      <c r="R89" s="105">
        <f t="shared" si="8"/>
        <v>189.7191427</v>
      </c>
      <c r="S89" s="105">
        <f t="shared" si="9"/>
        <v>44989.01403</v>
      </c>
      <c r="T89" s="105">
        <f t="shared" si="10"/>
        <v>34295.98597</v>
      </c>
      <c r="U89" s="105">
        <f t="shared" si="11"/>
        <v>19234.86764</v>
      </c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</row>
    <row r="90" ht="14.25" customHeight="1">
      <c r="A90" s="203" t="s">
        <v>110</v>
      </c>
      <c r="B90" s="198">
        <f t="shared" si="21"/>
        <v>1536569.158</v>
      </c>
      <c r="C90" s="192">
        <f>SUM(B90-D49)</f>
        <v>374464.1579</v>
      </c>
      <c r="D90" s="199">
        <f t="shared" si="22"/>
        <v>1675119.551</v>
      </c>
      <c r="E90" s="192">
        <f>SUM(D90-D49)</f>
        <v>513014.5508</v>
      </c>
      <c r="F90" s="132"/>
      <c r="G90" s="96"/>
      <c r="H90" s="125">
        <f t="shared" si="20"/>
        <v>74</v>
      </c>
      <c r="I90" s="97">
        <f t="shared" si="18"/>
        <v>4289.139272</v>
      </c>
      <c r="J90" s="97">
        <f t="shared" si="19"/>
        <v>1363.937821</v>
      </c>
      <c r="K90" s="97">
        <f t="shared" si="4"/>
        <v>2925.201451</v>
      </c>
      <c r="L90" s="97">
        <f t="shared" si="16"/>
        <v>729944.627</v>
      </c>
      <c r="M90" s="97">
        <f t="shared" si="17"/>
        <v>87555.373</v>
      </c>
      <c r="N90" s="97">
        <f t="shared" si="5"/>
        <v>229832.731</v>
      </c>
      <c r="O90" s="104">
        <f t="shared" si="14"/>
        <v>74</v>
      </c>
      <c r="P90" s="105">
        <f t="shared" si="6"/>
        <v>733.2993644</v>
      </c>
      <c r="Q90" s="105">
        <f t="shared" si="7"/>
        <v>545.8451393</v>
      </c>
      <c r="R90" s="105">
        <f t="shared" si="8"/>
        <v>187.4542251</v>
      </c>
      <c r="S90" s="105">
        <f t="shared" si="9"/>
        <v>44443.1689</v>
      </c>
      <c r="T90" s="105">
        <f t="shared" si="10"/>
        <v>34841.8311</v>
      </c>
      <c r="U90" s="105">
        <f t="shared" si="11"/>
        <v>19422.32186</v>
      </c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</row>
    <row r="91" ht="14.25" customHeight="1">
      <c r="A91" s="190" t="s">
        <v>111</v>
      </c>
      <c r="B91" s="204">
        <f t="shared" si="21"/>
        <v>1590349.078</v>
      </c>
      <c r="C91" s="192">
        <f>SUM(B91-D49)</f>
        <v>428244.0785</v>
      </c>
      <c r="D91" s="199">
        <f t="shared" si="22"/>
        <v>1758875.528</v>
      </c>
      <c r="E91" s="200">
        <f>SUM(D91-D49)</f>
        <v>596770.5283</v>
      </c>
      <c r="F91" s="205"/>
      <c r="G91" s="96"/>
      <c r="H91" s="125">
        <f t="shared" si="20"/>
        <v>75</v>
      </c>
      <c r="I91" s="97">
        <f t="shared" si="18"/>
        <v>4289.139272</v>
      </c>
      <c r="J91" s="97">
        <f t="shared" si="19"/>
        <v>1369.393572</v>
      </c>
      <c r="K91" s="97">
        <f t="shared" si="4"/>
        <v>2919.7457</v>
      </c>
      <c r="L91" s="97">
        <f t="shared" si="16"/>
        <v>728575.2334</v>
      </c>
      <c r="M91" s="97">
        <f t="shared" si="17"/>
        <v>88924.76657</v>
      </c>
      <c r="N91" s="97">
        <f t="shared" si="5"/>
        <v>232752.4767</v>
      </c>
      <c r="O91" s="104">
        <f t="shared" si="14"/>
        <v>75</v>
      </c>
      <c r="P91" s="105">
        <f t="shared" si="6"/>
        <v>733.2993644</v>
      </c>
      <c r="Q91" s="105">
        <f t="shared" si="7"/>
        <v>548.119494</v>
      </c>
      <c r="R91" s="105">
        <f t="shared" si="8"/>
        <v>185.1798704</v>
      </c>
      <c r="S91" s="105">
        <f t="shared" si="9"/>
        <v>43895.0494</v>
      </c>
      <c r="T91" s="105">
        <f t="shared" si="10"/>
        <v>35389.9506</v>
      </c>
      <c r="U91" s="105">
        <f t="shared" si="11"/>
        <v>19607.50173</v>
      </c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</row>
    <row r="92" ht="14.25" customHeight="1">
      <c r="A92" s="190" t="s">
        <v>112</v>
      </c>
      <c r="B92" s="204">
        <f t="shared" si="21"/>
        <v>1646011.296</v>
      </c>
      <c r="C92" s="192">
        <f>SUM(B92-D49)</f>
        <v>483906.2962</v>
      </c>
      <c r="D92" s="199">
        <f t="shared" si="22"/>
        <v>1846819.305</v>
      </c>
      <c r="E92" s="200">
        <f>SUM(D92-D49)</f>
        <v>684714.3047</v>
      </c>
      <c r="F92" s="90"/>
      <c r="G92" s="96"/>
      <c r="H92" s="125">
        <f t="shared" si="20"/>
        <v>76</v>
      </c>
      <c r="I92" s="97">
        <f t="shared" si="18"/>
        <v>4289.139272</v>
      </c>
      <c r="J92" s="97">
        <f t="shared" si="19"/>
        <v>1374.871146</v>
      </c>
      <c r="K92" s="97">
        <f t="shared" si="4"/>
        <v>2914.268125</v>
      </c>
      <c r="L92" s="97">
        <f t="shared" si="16"/>
        <v>727200.3623</v>
      </c>
      <c r="M92" s="97">
        <f t="shared" si="17"/>
        <v>90299.63772</v>
      </c>
      <c r="N92" s="97">
        <f t="shared" si="5"/>
        <v>235666.7448</v>
      </c>
      <c r="O92" s="104">
        <f t="shared" si="14"/>
        <v>76</v>
      </c>
      <c r="P92" s="105">
        <f t="shared" si="6"/>
        <v>733.2993644</v>
      </c>
      <c r="Q92" s="105">
        <f t="shared" si="7"/>
        <v>550.4033252</v>
      </c>
      <c r="R92" s="105">
        <f t="shared" si="8"/>
        <v>182.8960392</v>
      </c>
      <c r="S92" s="105">
        <f t="shared" si="9"/>
        <v>43344.64608</v>
      </c>
      <c r="T92" s="105">
        <f t="shared" si="10"/>
        <v>35940.35392</v>
      </c>
      <c r="U92" s="105">
        <f t="shared" si="11"/>
        <v>19790.39777</v>
      </c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</row>
    <row r="93" ht="14.25" customHeight="1">
      <c r="A93" s="90"/>
      <c r="B93" s="90"/>
      <c r="C93" s="90"/>
      <c r="E93" s="90"/>
      <c r="F93" s="90"/>
      <c r="G93" s="96"/>
      <c r="H93" s="125">
        <f t="shared" si="20"/>
        <v>77</v>
      </c>
      <c r="I93" s="97">
        <f t="shared" si="18"/>
        <v>4289.139272</v>
      </c>
      <c r="J93" s="97">
        <f t="shared" si="19"/>
        <v>1380.370631</v>
      </c>
      <c r="K93" s="97">
        <f t="shared" si="4"/>
        <v>2908.768641</v>
      </c>
      <c r="L93" s="97">
        <f t="shared" si="16"/>
        <v>725819.9917</v>
      </c>
      <c r="M93" s="97">
        <f t="shared" si="17"/>
        <v>91680.00835</v>
      </c>
      <c r="N93" s="97">
        <f t="shared" si="5"/>
        <v>238575.5135</v>
      </c>
      <c r="O93" s="104">
        <f t="shared" si="14"/>
        <v>77</v>
      </c>
      <c r="P93" s="105">
        <f t="shared" si="6"/>
        <v>733.2993644</v>
      </c>
      <c r="Q93" s="105">
        <f t="shared" si="7"/>
        <v>552.6966724</v>
      </c>
      <c r="R93" s="105">
        <f t="shared" si="8"/>
        <v>180.602692</v>
      </c>
      <c r="S93" s="105">
        <f t="shared" si="9"/>
        <v>42791.9494</v>
      </c>
      <c r="T93" s="105">
        <f t="shared" si="10"/>
        <v>36493.0506</v>
      </c>
      <c r="U93" s="105">
        <f t="shared" si="11"/>
        <v>19971.00046</v>
      </c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</row>
    <row r="94" ht="14.25" customHeight="1">
      <c r="E94" s="90"/>
      <c r="F94" s="90"/>
      <c r="G94" s="125"/>
      <c r="H94" s="125">
        <f t="shared" si="20"/>
        <v>78</v>
      </c>
      <c r="I94" s="97">
        <f t="shared" si="18"/>
        <v>4289.139272</v>
      </c>
      <c r="J94" s="97">
        <f t="shared" si="19"/>
        <v>1385.892114</v>
      </c>
      <c r="K94" s="97">
        <f t="shared" si="4"/>
        <v>2903.247158</v>
      </c>
      <c r="L94" s="97">
        <f t="shared" si="16"/>
        <v>724434.0995</v>
      </c>
      <c r="M94" s="97">
        <f t="shared" si="17"/>
        <v>93065.90046</v>
      </c>
      <c r="N94" s="97">
        <f t="shared" si="5"/>
        <v>241478.7606</v>
      </c>
      <c r="O94" s="104">
        <f t="shared" si="14"/>
        <v>78</v>
      </c>
      <c r="P94" s="105">
        <f t="shared" si="6"/>
        <v>733.2993644</v>
      </c>
      <c r="Q94" s="105">
        <f t="shared" si="7"/>
        <v>554.9995752</v>
      </c>
      <c r="R94" s="105">
        <f t="shared" si="8"/>
        <v>178.2997892</v>
      </c>
      <c r="S94" s="105">
        <f t="shared" si="9"/>
        <v>42236.94983</v>
      </c>
      <c r="T94" s="105">
        <f t="shared" si="10"/>
        <v>37048.05017</v>
      </c>
      <c r="U94" s="105">
        <f t="shared" si="11"/>
        <v>20149.30025</v>
      </c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</row>
    <row r="95" ht="14.25" customHeight="1">
      <c r="B95" s="90"/>
      <c r="C95" s="90"/>
      <c r="D95" s="90"/>
      <c r="E95" s="90"/>
      <c r="F95" s="90"/>
      <c r="G95" s="125"/>
      <c r="H95" s="125">
        <f t="shared" si="20"/>
        <v>79</v>
      </c>
      <c r="I95" s="97">
        <f t="shared" si="18"/>
        <v>4289.139272</v>
      </c>
      <c r="J95" s="97">
        <f t="shared" si="19"/>
        <v>1391.435682</v>
      </c>
      <c r="K95" s="97">
        <f t="shared" si="4"/>
        <v>2897.70359</v>
      </c>
      <c r="L95" s="97">
        <f t="shared" si="16"/>
        <v>723042.6639</v>
      </c>
      <c r="M95" s="97">
        <f t="shared" si="17"/>
        <v>94457.33615</v>
      </c>
      <c r="N95" s="97">
        <f t="shared" si="5"/>
        <v>244376.4642</v>
      </c>
      <c r="O95" s="104">
        <f t="shared" si="14"/>
        <v>79</v>
      </c>
      <c r="P95" s="105">
        <f t="shared" si="6"/>
        <v>733.2993644</v>
      </c>
      <c r="Q95" s="105">
        <f t="shared" si="7"/>
        <v>557.3120734</v>
      </c>
      <c r="R95" s="105">
        <f t="shared" si="8"/>
        <v>175.987291</v>
      </c>
      <c r="S95" s="105">
        <f t="shared" si="9"/>
        <v>41679.63776</v>
      </c>
      <c r="T95" s="105">
        <f t="shared" si="10"/>
        <v>37605.36224</v>
      </c>
      <c r="U95" s="105">
        <f t="shared" si="11"/>
        <v>20325.28754</v>
      </c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</row>
    <row r="96" ht="14.25" customHeight="1">
      <c r="A96" s="90"/>
      <c r="B96" s="206"/>
      <c r="E96" s="205"/>
      <c r="F96" s="145"/>
      <c r="G96" s="125"/>
      <c r="H96" s="125">
        <f t="shared" si="20"/>
        <v>80</v>
      </c>
      <c r="I96" s="97">
        <f t="shared" si="18"/>
        <v>4289.139272</v>
      </c>
      <c r="J96" s="97">
        <f t="shared" si="19"/>
        <v>1397.001425</v>
      </c>
      <c r="K96" s="97">
        <f t="shared" si="4"/>
        <v>2892.137847</v>
      </c>
      <c r="L96" s="97">
        <f t="shared" si="16"/>
        <v>721645.6624</v>
      </c>
      <c r="M96" s="97">
        <f t="shared" si="17"/>
        <v>95854.33757</v>
      </c>
      <c r="N96" s="97">
        <f t="shared" si="5"/>
        <v>247268.6021</v>
      </c>
      <c r="O96" s="104">
        <f t="shared" si="14"/>
        <v>80</v>
      </c>
      <c r="P96" s="105">
        <f t="shared" si="6"/>
        <v>733.2993644</v>
      </c>
      <c r="Q96" s="105">
        <f t="shared" si="7"/>
        <v>559.6342071</v>
      </c>
      <c r="R96" s="105">
        <f t="shared" si="8"/>
        <v>173.6651573</v>
      </c>
      <c r="S96" s="105">
        <f t="shared" si="9"/>
        <v>41120.00355</v>
      </c>
      <c r="T96" s="105">
        <f t="shared" si="10"/>
        <v>38164.99645</v>
      </c>
      <c r="U96" s="105">
        <f t="shared" si="11"/>
        <v>20498.9527</v>
      </c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</row>
    <row r="97" ht="14.25" customHeight="1">
      <c r="A97" s="132"/>
      <c r="E97" s="207"/>
      <c r="F97" s="207"/>
      <c r="G97" s="96"/>
      <c r="H97" s="125">
        <f t="shared" si="20"/>
        <v>81</v>
      </c>
      <c r="I97" s="97">
        <f t="shared" si="18"/>
        <v>4289.139272</v>
      </c>
      <c r="J97" s="97">
        <f t="shared" si="19"/>
        <v>1402.58943</v>
      </c>
      <c r="K97" s="97">
        <f t="shared" si="4"/>
        <v>2886.549841</v>
      </c>
      <c r="L97" s="97">
        <f t="shared" si="16"/>
        <v>720243.073</v>
      </c>
      <c r="M97" s="97">
        <f t="shared" si="17"/>
        <v>97256.927</v>
      </c>
      <c r="N97" s="97">
        <f t="shared" si="5"/>
        <v>250155.1519</v>
      </c>
      <c r="O97" s="104">
        <f t="shared" si="14"/>
        <v>81</v>
      </c>
      <c r="P97" s="105">
        <f t="shared" si="6"/>
        <v>733.2993644</v>
      </c>
      <c r="Q97" s="105">
        <f t="shared" si="7"/>
        <v>561.9660163</v>
      </c>
      <c r="R97" s="105">
        <f t="shared" si="8"/>
        <v>171.3333481</v>
      </c>
      <c r="S97" s="105">
        <f t="shared" si="9"/>
        <v>40558.03753</v>
      </c>
      <c r="T97" s="105">
        <f t="shared" si="10"/>
        <v>38726.96247</v>
      </c>
      <c r="U97" s="105">
        <f t="shared" si="11"/>
        <v>20670.28605</v>
      </c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</row>
    <row r="98" ht="14.25" customHeight="1">
      <c r="A98" s="187"/>
      <c r="B98" s="132"/>
      <c r="C98" s="132"/>
      <c r="D98" s="132"/>
      <c r="E98" s="132"/>
      <c r="F98" s="132"/>
      <c r="G98" s="96"/>
      <c r="H98" s="125">
        <f t="shared" si="20"/>
        <v>82</v>
      </c>
      <c r="I98" s="97">
        <f t="shared" si="18"/>
        <v>4289.139272</v>
      </c>
      <c r="J98" s="97">
        <f t="shared" si="19"/>
        <v>1408.199788</v>
      </c>
      <c r="K98" s="97">
        <f t="shared" si="4"/>
        <v>2880.939484</v>
      </c>
      <c r="L98" s="97">
        <f t="shared" si="16"/>
        <v>718834.8732</v>
      </c>
      <c r="M98" s="97">
        <f t="shared" si="17"/>
        <v>98665.12679</v>
      </c>
      <c r="N98" s="97">
        <f t="shared" si="5"/>
        <v>253036.0914</v>
      </c>
      <c r="O98" s="104">
        <f t="shared" si="14"/>
        <v>82</v>
      </c>
      <c r="P98" s="105">
        <f t="shared" si="6"/>
        <v>733.2993644</v>
      </c>
      <c r="Q98" s="105">
        <f t="shared" si="7"/>
        <v>564.3075414</v>
      </c>
      <c r="R98" s="105">
        <f t="shared" si="8"/>
        <v>168.991823</v>
      </c>
      <c r="S98" s="105">
        <f t="shared" si="9"/>
        <v>39993.72999</v>
      </c>
      <c r="T98" s="105">
        <f t="shared" si="10"/>
        <v>39291.27001</v>
      </c>
      <c r="U98" s="105">
        <f t="shared" si="11"/>
        <v>20839.27787</v>
      </c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</row>
    <row r="99" ht="14.25" customHeight="1">
      <c r="A99" s="132"/>
      <c r="B99" s="187"/>
      <c r="D99" s="208"/>
      <c r="E99" s="208"/>
      <c r="G99" s="209"/>
      <c r="H99" s="125">
        <f t="shared" si="20"/>
        <v>83</v>
      </c>
      <c r="I99" s="97">
        <f t="shared" si="18"/>
        <v>4289.139272</v>
      </c>
      <c r="J99" s="97">
        <f t="shared" si="19"/>
        <v>1413.832587</v>
      </c>
      <c r="K99" s="97">
        <f t="shared" si="4"/>
        <v>2875.306684</v>
      </c>
      <c r="L99" s="97">
        <f t="shared" si="16"/>
        <v>717421.0406</v>
      </c>
      <c r="M99" s="97">
        <f t="shared" si="17"/>
        <v>100078.9594</v>
      </c>
      <c r="N99" s="97">
        <f t="shared" si="5"/>
        <v>255911.3981</v>
      </c>
      <c r="O99" s="104">
        <f t="shared" si="14"/>
        <v>83</v>
      </c>
      <c r="P99" s="105">
        <f t="shared" si="6"/>
        <v>733.2993644</v>
      </c>
      <c r="Q99" s="105">
        <f t="shared" si="7"/>
        <v>566.6588228</v>
      </c>
      <c r="R99" s="105">
        <f t="shared" si="8"/>
        <v>166.6405416</v>
      </c>
      <c r="S99" s="105">
        <f t="shared" si="9"/>
        <v>39427.07117</v>
      </c>
      <c r="T99" s="105">
        <f t="shared" si="10"/>
        <v>39857.92883</v>
      </c>
      <c r="U99" s="105">
        <f t="shared" si="11"/>
        <v>21005.91841</v>
      </c>
      <c r="V99" s="2"/>
      <c r="W99" s="2"/>
      <c r="X99" s="2"/>
      <c r="Y99" s="210"/>
      <c r="Z99" s="210"/>
      <c r="AA99" s="210"/>
      <c r="AB99" s="210"/>
      <c r="AC99" s="210"/>
      <c r="AD99" s="210"/>
      <c r="AE99" s="210"/>
      <c r="AF99" s="210"/>
      <c r="AG99" s="210"/>
      <c r="AH99" s="210"/>
      <c r="AI99" s="210"/>
      <c r="AJ99" s="210"/>
      <c r="AK99" s="210"/>
      <c r="AL99" s="210"/>
      <c r="AM99" s="210"/>
      <c r="AN99" s="210"/>
      <c r="AO99" s="210"/>
    </row>
    <row r="100" ht="14.25" customHeight="1">
      <c r="A100" s="132"/>
      <c r="B100" s="211"/>
      <c r="D100" s="212"/>
      <c r="E100" s="213"/>
      <c r="G100" s="214"/>
      <c r="H100" s="215">
        <f t="shared" si="20"/>
        <v>84</v>
      </c>
      <c r="I100" s="216">
        <f t="shared" si="18"/>
        <v>4289.139272</v>
      </c>
      <c r="J100" s="216">
        <f t="shared" si="19"/>
        <v>1419.487918</v>
      </c>
      <c r="K100" s="216">
        <f t="shared" si="4"/>
        <v>2869.651354</v>
      </c>
      <c r="L100" s="216">
        <f t="shared" si="16"/>
        <v>716001.5527</v>
      </c>
      <c r="M100" s="216">
        <f t="shared" si="17"/>
        <v>101498.4473</v>
      </c>
      <c r="N100" s="216">
        <f t="shared" si="5"/>
        <v>258781.0494</v>
      </c>
      <c r="O100" s="217">
        <f t="shared" si="14"/>
        <v>84</v>
      </c>
      <c r="P100" s="218">
        <f t="shared" si="6"/>
        <v>733.2993644</v>
      </c>
      <c r="Q100" s="218">
        <f t="shared" si="7"/>
        <v>569.0199012</v>
      </c>
      <c r="R100" s="218">
        <f t="shared" si="8"/>
        <v>164.2794632</v>
      </c>
      <c r="S100" s="218">
        <f t="shared" si="9"/>
        <v>38858.05127</v>
      </c>
      <c r="T100" s="218">
        <f t="shared" si="10"/>
        <v>40426.94873</v>
      </c>
      <c r="U100" s="218">
        <f t="shared" si="11"/>
        <v>21170.19788</v>
      </c>
      <c r="V100" s="2"/>
      <c r="W100" s="2"/>
      <c r="X100" s="2"/>
      <c r="Y100" s="219"/>
      <c r="Z100" s="219"/>
      <c r="AA100" s="219"/>
      <c r="AB100" s="219"/>
      <c r="AC100" s="219"/>
      <c r="AD100" s="219"/>
      <c r="AE100" s="219"/>
      <c r="AF100" s="219"/>
      <c r="AG100" s="219"/>
      <c r="AH100" s="219"/>
      <c r="AI100" s="219"/>
      <c r="AJ100" s="219"/>
      <c r="AK100" s="219"/>
      <c r="AL100" s="219"/>
      <c r="AM100" s="219"/>
      <c r="AN100" s="219"/>
      <c r="AO100" s="2"/>
    </row>
    <row r="101" ht="14.25" customHeight="1">
      <c r="A101" s="132"/>
      <c r="G101" s="214"/>
      <c r="H101" s="125">
        <f t="shared" si="20"/>
        <v>85</v>
      </c>
      <c r="I101" s="97">
        <f t="shared" si="18"/>
        <v>4289.139272</v>
      </c>
      <c r="J101" s="97">
        <f t="shared" si="19"/>
        <v>1425.165869</v>
      </c>
      <c r="K101" s="97">
        <f t="shared" si="4"/>
        <v>2863.973402</v>
      </c>
      <c r="L101" s="97">
        <f t="shared" si="16"/>
        <v>714576.3868</v>
      </c>
      <c r="M101" s="97">
        <f t="shared" si="17"/>
        <v>102923.6132</v>
      </c>
      <c r="N101" s="97">
        <f t="shared" si="5"/>
        <v>261645.0228</v>
      </c>
      <c r="O101" s="104">
        <f t="shared" si="14"/>
        <v>85</v>
      </c>
      <c r="P101" s="105">
        <f t="shared" si="6"/>
        <v>733.2993644</v>
      </c>
      <c r="Q101" s="105">
        <f t="shared" si="7"/>
        <v>571.3908175</v>
      </c>
      <c r="R101" s="105">
        <f t="shared" si="8"/>
        <v>161.9085469</v>
      </c>
      <c r="S101" s="105">
        <f t="shared" si="9"/>
        <v>38286.66045</v>
      </c>
      <c r="T101" s="105">
        <f t="shared" si="10"/>
        <v>40998.33955</v>
      </c>
      <c r="U101" s="105">
        <f t="shared" si="11"/>
        <v>21332.10642</v>
      </c>
      <c r="V101" s="2"/>
      <c r="W101" s="2"/>
      <c r="X101" s="2"/>
      <c r="Y101" s="219"/>
      <c r="Z101" s="219"/>
      <c r="AA101" s="219"/>
      <c r="AB101" s="219"/>
      <c r="AC101" s="219"/>
      <c r="AD101" s="219"/>
      <c r="AE101" s="219"/>
      <c r="AF101" s="219"/>
      <c r="AG101" s="219"/>
      <c r="AH101" s="219"/>
      <c r="AI101" s="219"/>
      <c r="AJ101" s="219"/>
      <c r="AK101" s="219"/>
      <c r="AL101" s="219"/>
      <c r="AM101" s="219"/>
      <c r="AN101" s="219"/>
      <c r="AO101" s="220"/>
    </row>
    <row r="102" ht="14.25" customHeight="1">
      <c r="A102" s="132"/>
      <c r="B102" s="221"/>
      <c r="G102" s="222"/>
      <c r="H102" s="125">
        <f t="shared" si="20"/>
        <v>86</v>
      </c>
      <c r="I102" s="97">
        <f t="shared" si="18"/>
        <v>4289.139272</v>
      </c>
      <c r="J102" s="97">
        <f t="shared" si="19"/>
        <v>1430.866533</v>
      </c>
      <c r="K102" s="97">
        <f t="shared" si="4"/>
        <v>2858.272739</v>
      </c>
      <c r="L102" s="97">
        <f t="shared" si="16"/>
        <v>713145.5203</v>
      </c>
      <c r="M102" s="97">
        <f t="shared" si="17"/>
        <v>104354.4797</v>
      </c>
      <c r="N102" s="97">
        <f t="shared" si="5"/>
        <v>264503.2956</v>
      </c>
      <c r="O102" s="104">
        <f t="shared" si="14"/>
        <v>86</v>
      </c>
      <c r="P102" s="105">
        <f t="shared" si="6"/>
        <v>733.2993644</v>
      </c>
      <c r="Q102" s="105">
        <f t="shared" si="7"/>
        <v>573.7716125</v>
      </c>
      <c r="R102" s="105">
        <f t="shared" si="8"/>
        <v>159.5277519</v>
      </c>
      <c r="S102" s="105">
        <f t="shared" si="9"/>
        <v>37712.88884</v>
      </c>
      <c r="T102" s="105">
        <f t="shared" si="10"/>
        <v>41572.11116</v>
      </c>
      <c r="U102" s="105">
        <f t="shared" si="11"/>
        <v>21491.63417</v>
      </c>
      <c r="V102" s="2"/>
      <c r="W102" s="2"/>
      <c r="X102" s="2"/>
      <c r="Y102" s="219"/>
      <c r="Z102" s="219"/>
      <c r="AA102" s="219"/>
      <c r="AB102" s="219"/>
      <c r="AC102" s="219"/>
      <c r="AD102" s="219"/>
      <c r="AE102" s="219"/>
      <c r="AF102" s="219"/>
      <c r="AG102" s="219"/>
      <c r="AH102" s="219"/>
      <c r="AI102" s="219"/>
      <c r="AJ102" s="219"/>
      <c r="AK102" s="219"/>
      <c r="AL102" s="219"/>
      <c r="AM102" s="219"/>
      <c r="AN102" s="219"/>
      <c r="AO102" s="2"/>
    </row>
    <row r="103" ht="14.25" customHeight="1">
      <c r="A103" s="132"/>
      <c r="B103" s="223"/>
      <c r="G103" s="96"/>
      <c r="H103" s="125">
        <f t="shared" si="20"/>
        <v>87</v>
      </c>
      <c r="I103" s="97">
        <f t="shared" si="18"/>
        <v>4289.139272</v>
      </c>
      <c r="J103" s="97">
        <f t="shared" si="19"/>
        <v>1436.589999</v>
      </c>
      <c r="K103" s="97">
        <f t="shared" si="4"/>
        <v>2852.549273</v>
      </c>
      <c r="L103" s="97">
        <f t="shared" si="16"/>
        <v>711708.9303</v>
      </c>
      <c r="M103" s="97">
        <f t="shared" si="17"/>
        <v>105791.0697</v>
      </c>
      <c r="N103" s="97">
        <f t="shared" si="5"/>
        <v>267355.8448</v>
      </c>
      <c r="O103" s="104">
        <f t="shared" si="14"/>
        <v>87</v>
      </c>
      <c r="P103" s="105">
        <f t="shared" si="6"/>
        <v>733.2993644</v>
      </c>
      <c r="Q103" s="105">
        <f t="shared" si="7"/>
        <v>576.1623276</v>
      </c>
      <c r="R103" s="105">
        <f t="shared" si="8"/>
        <v>157.1370368</v>
      </c>
      <c r="S103" s="105">
        <f t="shared" si="9"/>
        <v>37136.72651</v>
      </c>
      <c r="T103" s="105">
        <f t="shared" si="10"/>
        <v>42148.27349</v>
      </c>
      <c r="U103" s="105">
        <f t="shared" si="11"/>
        <v>21648.77121</v>
      </c>
      <c r="V103" s="2"/>
      <c r="W103" s="2"/>
      <c r="X103" s="2"/>
      <c r="Y103" s="224"/>
      <c r="Z103" s="224"/>
      <c r="AA103" s="224"/>
      <c r="AB103" s="224"/>
      <c r="AC103" s="224"/>
      <c r="AD103" s="224"/>
      <c r="AE103" s="224"/>
      <c r="AF103" s="224"/>
      <c r="AG103" s="224"/>
      <c r="AH103" s="224"/>
      <c r="AI103" s="224"/>
      <c r="AJ103" s="224"/>
      <c r="AK103" s="224"/>
      <c r="AL103" s="224"/>
      <c r="AM103" s="224"/>
      <c r="AN103" s="224"/>
      <c r="AO103" s="2"/>
    </row>
    <row r="104" ht="14.25" customHeight="1">
      <c r="A104" s="132"/>
      <c r="G104" s="96"/>
      <c r="H104" s="125">
        <f t="shared" si="20"/>
        <v>88</v>
      </c>
      <c r="I104" s="97">
        <f t="shared" si="18"/>
        <v>4289.139272</v>
      </c>
      <c r="J104" s="97">
        <f t="shared" si="19"/>
        <v>1442.336359</v>
      </c>
      <c r="K104" s="97">
        <f t="shared" si="4"/>
        <v>2846.802913</v>
      </c>
      <c r="L104" s="97">
        <f t="shared" si="16"/>
        <v>710266.5939</v>
      </c>
      <c r="M104" s="97">
        <f t="shared" si="17"/>
        <v>107233.4061</v>
      </c>
      <c r="N104" s="97">
        <f t="shared" si="5"/>
        <v>270202.6478</v>
      </c>
      <c r="O104" s="104">
        <f t="shared" si="14"/>
        <v>88</v>
      </c>
      <c r="P104" s="105">
        <f t="shared" si="6"/>
        <v>733.2993644</v>
      </c>
      <c r="Q104" s="105">
        <f t="shared" si="7"/>
        <v>578.5630039</v>
      </c>
      <c r="R104" s="105">
        <f t="shared" si="8"/>
        <v>154.7363605</v>
      </c>
      <c r="S104" s="105">
        <f t="shared" si="9"/>
        <v>36558.1635</v>
      </c>
      <c r="T104" s="105">
        <f t="shared" si="10"/>
        <v>42726.8365</v>
      </c>
      <c r="U104" s="105">
        <f t="shared" si="11"/>
        <v>21803.50757</v>
      </c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</row>
    <row r="105" ht="14.25" customHeight="1">
      <c r="A105" s="132"/>
      <c r="B105" s="223"/>
      <c r="G105" s="96"/>
      <c r="H105" s="125">
        <f t="shared" si="20"/>
        <v>89</v>
      </c>
      <c r="I105" s="97">
        <f t="shared" si="18"/>
        <v>4289.139272</v>
      </c>
      <c r="J105" s="97">
        <f t="shared" si="19"/>
        <v>1448.105704</v>
      </c>
      <c r="K105" s="97">
        <f t="shared" si="4"/>
        <v>2841.033567</v>
      </c>
      <c r="L105" s="97">
        <f t="shared" si="16"/>
        <v>708818.4882</v>
      </c>
      <c r="M105" s="97">
        <f t="shared" si="17"/>
        <v>108681.5118</v>
      </c>
      <c r="N105" s="97">
        <f t="shared" si="5"/>
        <v>273043.6813</v>
      </c>
      <c r="O105" s="104">
        <f t="shared" si="14"/>
        <v>89</v>
      </c>
      <c r="P105" s="105">
        <f t="shared" si="6"/>
        <v>733.2993644</v>
      </c>
      <c r="Q105" s="105">
        <f t="shared" si="7"/>
        <v>580.9736831</v>
      </c>
      <c r="R105" s="105">
        <f t="shared" si="8"/>
        <v>152.3256813</v>
      </c>
      <c r="S105" s="105">
        <f t="shared" si="9"/>
        <v>35977.18982</v>
      </c>
      <c r="T105" s="105">
        <f t="shared" si="10"/>
        <v>43307.81018</v>
      </c>
      <c r="U105" s="105">
        <f t="shared" si="11"/>
        <v>21955.83325</v>
      </c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</row>
    <row r="106" ht="14.25" customHeight="1">
      <c r="A106" s="132"/>
      <c r="G106" s="214"/>
      <c r="H106" s="125">
        <f t="shared" si="20"/>
        <v>90</v>
      </c>
      <c r="I106" s="97">
        <f t="shared" si="18"/>
        <v>4289.139272</v>
      </c>
      <c r="J106" s="97">
        <f t="shared" si="19"/>
        <v>1453.898127</v>
      </c>
      <c r="K106" s="97">
        <f t="shared" si="4"/>
        <v>2835.241145</v>
      </c>
      <c r="L106" s="97">
        <f t="shared" si="16"/>
        <v>707364.5901</v>
      </c>
      <c r="M106" s="97">
        <f t="shared" si="17"/>
        <v>110135.4099</v>
      </c>
      <c r="N106" s="97">
        <f t="shared" si="5"/>
        <v>275878.9225</v>
      </c>
      <c r="O106" s="104">
        <f t="shared" si="14"/>
        <v>90</v>
      </c>
      <c r="P106" s="105">
        <f t="shared" si="6"/>
        <v>733.2993644</v>
      </c>
      <c r="Q106" s="105">
        <f t="shared" si="7"/>
        <v>583.3944068</v>
      </c>
      <c r="R106" s="105">
        <f t="shared" si="8"/>
        <v>149.9049576</v>
      </c>
      <c r="S106" s="105">
        <f t="shared" si="9"/>
        <v>35393.79541</v>
      </c>
      <c r="T106" s="105">
        <f t="shared" si="10"/>
        <v>43891.20459</v>
      </c>
      <c r="U106" s="105">
        <f t="shared" si="11"/>
        <v>22105.73821</v>
      </c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</row>
    <row r="107" ht="14.25" customHeight="1">
      <c r="A107" s="132"/>
      <c r="B107" s="223"/>
      <c r="G107" s="214"/>
      <c r="H107" s="125">
        <f t="shared" si="20"/>
        <v>91</v>
      </c>
      <c r="I107" s="97">
        <f t="shared" si="18"/>
        <v>4289.139272</v>
      </c>
      <c r="J107" s="97">
        <f t="shared" si="19"/>
        <v>1459.71372</v>
      </c>
      <c r="K107" s="97">
        <f t="shared" si="4"/>
        <v>2829.425552</v>
      </c>
      <c r="L107" s="97">
        <f t="shared" si="16"/>
        <v>705904.8764</v>
      </c>
      <c r="M107" s="97">
        <f t="shared" si="17"/>
        <v>111595.1236</v>
      </c>
      <c r="N107" s="97">
        <f t="shared" si="5"/>
        <v>278708.348</v>
      </c>
      <c r="O107" s="104">
        <f t="shared" si="14"/>
        <v>91</v>
      </c>
      <c r="P107" s="105">
        <f t="shared" si="6"/>
        <v>733.2993644</v>
      </c>
      <c r="Q107" s="105">
        <f t="shared" si="7"/>
        <v>585.8252168</v>
      </c>
      <c r="R107" s="105">
        <f t="shared" si="8"/>
        <v>147.4741476</v>
      </c>
      <c r="S107" s="105">
        <f t="shared" si="9"/>
        <v>34807.9702</v>
      </c>
      <c r="T107" s="105">
        <f t="shared" si="10"/>
        <v>44477.0298</v>
      </c>
      <c r="U107" s="105">
        <f t="shared" si="11"/>
        <v>22253.21236</v>
      </c>
      <c r="V107" s="2"/>
      <c r="W107" s="2"/>
      <c r="X107" s="2"/>
      <c r="Y107" s="225"/>
      <c r="Z107" s="225"/>
      <c r="AA107" s="225"/>
      <c r="AB107" s="225"/>
      <c r="AC107" s="225"/>
      <c r="AD107" s="225"/>
      <c r="AE107" s="225"/>
      <c r="AF107" s="225"/>
      <c r="AG107" s="225"/>
      <c r="AH107" s="225"/>
      <c r="AI107" s="225"/>
      <c r="AJ107" s="225"/>
      <c r="AK107" s="225"/>
      <c r="AL107" s="225"/>
      <c r="AM107" s="225"/>
      <c r="AN107" s="225"/>
      <c r="AO107" s="2"/>
    </row>
    <row r="108" ht="14.25" customHeight="1">
      <c r="A108" s="132"/>
      <c r="G108" s="214"/>
      <c r="H108" s="125">
        <f t="shared" si="20"/>
        <v>92</v>
      </c>
      <c r="I108" s="97">
        <f t="shared" si="18"/>
        <v>4289.139272</v>
      </c>
      <c r="J108" s="97">
        <f t="shared" si="19"/>
        <v>1465.552575</v>
      </c>
      <c r="K108" s="97">
        <f t="shared" si="4"/>
        <v>2823.586697</v>
      </c>
      <c r="L108" s="97">
        <f t="shared" si="16"/>
        <v>704439.3238</v>
      </c>
      <c r="M108" s="97">
        <f t="shared" si="17"/>
        <v>113060.6762</v>
      </c>
      <c r="N108" s="97">
        <f t="shared" si="5"/>
        <v>281531.9347</v>
      </c>
      <c r="O108" s="104">
        <f t="shared" si="14"/>
        <v>92</v>
      </c>
      <c r="P108" s="105">
        <f t="shared" si="6"/>
        <v>733.2993644</v>
      </c>
      <c r="Q108" s="105">
        <f t="shared" si="7"/>
        <v>588.2661552</v>
      </c>
      <c r="R108" s="105">
        <f t="shared" si="8"/>
        <v>145.0332092</v>
      </c>
      <c r="S108" s="105">
        <f t="shared" si="9"/>
        <v>34219.70404</v>
      </c>
      <c r="T108" s="105">
        <f t="shared" si="10"/>
        <v>45065.29596</v>
      </c>
      <c r="U108" s="105">
        <f t="shared" si="11"/>
        <v>22398.24557</v>
      </c>
      <c r="V108" s="2"/>
      <c r="W108" s="2"/>
      <c r="X108" s="2"/>
      <c r="Y108" s="225"/>
      <c r="Z108" s="225"/>
      <c r="AA108" s="225"/>
      <c r="AB108" s="225"/>
      <c r="AC108" s="225"/>
      <c r="AD108" s="225"/>
      <c r="AE108" s="225"/>
      <c r="AF108" s="225"/>
      <c r="AG108" s="225"/>
      <c r="AH108" s="225"/>
      <c r="AI108" s="225"/>
      <c r="AJ108" s="225"/>
      <c r="AK108" s="225"/>
      <c r="AL108" s="225"/>
      <c r="AM108" s="225"/>
      <c r="AN108" s="225"/>
      <c r="AO108" s="2"/>
    </row>
    <row r="109" ht="14.25" customHeight="1">
      <c r="A109" s="132"/>
      <c r="B109" s="223"/>
      <c r="G109" s="214"/>
      <c r="H109" s="125">
        <f t="shared" si="20"/>
        <v>93</v>
      </c>
      <c r="I109" s="97">
        <f t="shared" si="18"/>
        <v>4289.139272</v>
      </c>
      <c r="J109" s="97">
        <f t="shared" si="19"/>
        <v>1471.414785</v>
      </c>
      <c r="K109" s="97">
        <f t="shared" si="4"/>
        <v>2817.724487</v>
      </c>
      <c r="L109" s="97">
        <f t="shared" si="16"/>
        <v>702967.909</v>
      </c>
      <c r="M109" s="97">
        <f t="shared" si="17"/>
        <v>114532.091</v>
      </c>
      <c r="N109" s="97">
        <f t="shared" si="5"/>
        <v>284349.6592</v>
      </c>
      <c r="O109" s="104">
        <f t="shared" si="14"/>
        <v>93</v>
      </c>
      <c r="P109" s="105">
        <f t="shared" si="6"/>
        <v>733.2993644</v>
      </c>
      <c r="Q109" s="105">
        <f t="shared" si="7"/>
        <v>590.7172642</v>
      </c>
      <c r="R109" s="105">
        <f t="shared" si="8"/>
        <v>142.5821002</v>
      </c>
      <c r="S109" s="105">
        <f t="shared" si="9"/>
        <v>33628.98678</v>
      </c>
      <c r="T109" s="105">
        <f t="shared" si="10"/>
        <v>45656.01322</v>
      </c>
      <c r="U109" s="105">
        <f t="shared" si="11"/>
        <v>22540.82767</v>
      </c>
      <c r="V109" s="2"/>
      <c r="W109" s="2"/>
      <c r="X109" s="2"/>
      <c r="Y109" s="225"/>
      <c r="Z109" s="225"/>
      <c r="AA109" s="225"/>
      <c r="AB109" s="225"/>
      <c r="AC109" s="225"/>
      <c r="AD109" s="225"/>
      <c r="AE109" s="225"/>
      <c r="AF109" s="225"/>
      <c r="AG109" s="225"/>
      <c r="AH109" s="225"/>
      <c r="AI109" s="225"/>
      <c r="AJ109" s="225"/>
      <c r="AK109" s="225"/>
      <c r="AL109" s="225"/>
      <c r="AM109" s="225"/>
      <c r="AN109" s="225"/>
      <c r="AO109" s="2"/>
    </row>
    <row r="110" ht="14.25" customHeight="1">
      <c r="A110" s="132"/>
      <c r="G110" s="222"/>
      <c r="H110" s="125">
        <f t="shared" si="20"/>
        <v>94</v>
      </c>
      <c r="I110" s="97">
        <f t="shared" si="18"/>
        <v>4289.139272</v>
      </c>
      <c r="J110" s="97">
        <f t="shared" si="19"/>
        <v>1477.300444</v>
      </c>
      <c r="K110" s="97">
        <f t="shared" si="4"/>
        <v>2811.838828</v>
      </c>
      <c r="L110" s="97">
        <f t="shared" si="16"/>
        <v>701490.6086</v>
      </c>
      <c r="M110" s="97">
        <f t="shared" si="17"/>
        <v>116009.3914</v>
      </c>
      <c r="N110" s="97">
        <f t="shared" si="5"/>
        <v>287161.498</v>
      </c>
      <c r="O110" s="104">
        <f t="shared" si="14"/>
        <v>94</v>
      </c>
      <c r="P110" s="105">
        <f t="shared" si="6"/>
        <v>733.2993644</v>
      </c>
      <c r="Q110" s="105">
        <f t="shared" si="7"/>
        <v>593.1785862</v>
      </c>
      <c r="R110" s="105">
        <f t="shared" si="8"/>
        <v>140.1207782</v>
      </c>
      <c r="S110" s="105">
        <f t="shared" si="9"/>
        <v>33035.80819</v>
      </c>
      <c r="T110" s="105">
        <f t="shared" si="10"/>
        <v>46249.19181</v>
      </c>
      <c r="U110" s="105">
        <f t="shared" si="11"/>
        <v>22680.94845</v>
      </c>
      <c r="V110" s="2"/>
      <c r="W110" s="2"/>
      <c r="X110" s="2"/>
      <c r="Y110" s="225"/>
      <c r="Z110" s="225"/>
      <c r="AA110" s="225"/>
      <c r="AB110" s="225"/>
      <c r="AC110" s="225"/>
      <c r="AD110" s="225"/>
      <c r="AE110" s="225"/>
      <c r="AF110" s="225"/>
      <c r="AG110" s="225"/>
      <c r="AH110" s="225"/>
      <c r="AI110" s="225"/>
      <c r="AJ110" s="225"/>
      <c r="AK110" s="225"/>
      <c r="AL110" s="225"/>
      <c r="AM110" s="225"/>
      <c r="AN110" s="225"/>
      <c r="AO110" s="2"/>
    </row>
    <row r="111" ht="14.25" customHeight="1">
      <c r="A111" s="132"/>
      <c r="B111" s="223"/>
      <c r="G111" s="96"/>
      <c r="H111" s="125">
        <f t="shared" si="20"/>
        <v>95</v>
      </c>
      <c r="I111" s="97">
        <f t="shared" si="18"/>
        <v>4289.139272</v>
      </c>
      <c r="J111" s="97">
        <f t="shared" si="19"/>
        <v>1483.209646</v>
      </c>
      <c r="K111" s="97">
        <f t="shared" si="4"/>
        <v>2805.929626</v>
      </c>
      <c r="L111" s="97">
        <f t="shared" si="16"/>
        <v>700007.3989</v>
      </c>
      <c r="M111" s="97">
        <f t="shared" si="17"/>
        <v>117492.6011</v>
      </c>
      <c r="N111" s="97">
        <f t="shared" si="5"/>
        <v>289967.4277</v>
      </c>
      <c r="O111" s="104">
        <f t="shared" si="14"/>
        <v>95</v>
      </c>
      <c r="P111" s="105">
        <f t="shared" si="6"/>
        <v>733.2993644</v>
      </c>
      <c r="Q111" s="105">
        <f t="shared" si="7"/>
        <v>595.6501636</v>
      </c>
      <c r="R111" s="105">
        <f t="shared" si="8"/>
        <v>137.6492008</v>
      </c>
      <c r="S111" s="105">
        <f t="shared" si="9"/>
        <v>32440.15803</v>
      </c>
      <c r="T111" s="105">
        <f t="shared" si="10"/>
        <v>46844.84197</v>
      </c>
      <c r="U111" s="105">
        <f t="shared" si="11"/>
        <v>22818.59765</v>
      </c>
      <c r="V111" s="2"/>
      <c r="W111" s="2"/>
      <c r="X111" s="2"/>
      <c r="Y111" s="224"/>
      <c r="Z111" s="224"/>
      <c r="AA111" s="224"/>
      <c r="AB111" s="224"/>
      <c r="AC111" s="224"/>
      <c r="AD111" s="224"/>
      <c r="AE111" s="224"/>
      <c r="AF111" s="224"/>
      <c r="AG111" s="224"/>
      <c r="AH111" s="224"/>
      <c r="AI111" s="224"/>
      <c r="AJ111" s="224"/>
      <c r="AK111" s="224"/>
      <c r="AL111" s="224"/>
      <c r="AM111" s="224"/>
      <c r="AN111" s="224"/>
      <c r="AO111" s="2"/>
    </row>
    <row r="112" ht="14.25" customHeight="1">
      <c r="A112" s="132"/>
      <c r="G112" s="222"/>
      <c r="H112" s="125">
        <f t="shared" si="20"/>
        <v>96</v>
      </c>
      <c r="I112" s="97">
        <f t="shared" si="18"/>
        <v>4289.139272</v>
      </c>
      <c r="J112" s="97">
        <f t="shared" si="19"/>
        <v>1489.142484</v>
      </c>
      <c r="K112" s="97">
        <f t="shared" si="4"/>
        <v>2799.996787</v>
      </c>
      <c r="L112" s="97">
        <f t="shared" si="16"/>
        <v>698518.2565</v>
      </c>
      <c r="M112" s="97">
        <f t="shared" si="17"/>
        <v>118981.7435</v>
      </c>
      <c r="N112" s="97">
        <f t="shared" si="5"/>
        <v>292767.4245</v>
      </c>
      <c r="O112" s="104">
        <f t="shared" si="14"/>
        <v>96</v>
      </c>
      <c r="P112" s="105">
        <f t="shared" si="6"/>
        <v>733.2993644</v>
      </c>
      <c r="Q112" s="105">
        <f t="shared" si="7"/>
        <v>598.1320393</v>
      </c>
      <c r="R112" s="105">
        <f t="shared" si="8"/>
        <v>135.1673251</v>
      </c>
      <c r="S112" s="105">
        <f t="shared" si="9"/>
        <v>31842.02599</v>
      </c>
      <c r="T112" s="105">
        <f t="shared" si="10"/>
        <v>47442.97401</v>
      </c>
      <c r="U112" s="105">
        <f t="shared" si="11"/>
        <v>22953.76497</v>
      </c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</row>
    <row r="113" ht="14.25" customHeight="1">
      <c r="A113" s="132"/>
      <c r="B113" s="226"/>
      <c r="C113" s="226"/>
      <c r="D113" s="227"/>
      <c r="G113" s="96"/>
      <c r="H113" s="125">
        <f t="shared" si="20"/>
        <v>97</v>
      </c>
      <c r="I113" s="97">
        <f t="shared" si="18"/>
        <v>4289.139272</v>
      </c>
      <c r="J113" s="97">
        <f t="shared" si="19"/>
        <v>1495.099054</v>
      </c>
      <c r="K113" s="97">
        <f t="shared" si="4"/>
        <v>2794.040217</v>
      </c>
      <c r="L113" s="97">
        <f t="shared" si="16"/>
        <v>697023.1574</v>
      </c>
      <c r="M113" s="97">
        <f t="shared" si="17"/>
        <v>120476.8426</v>
      </c>
      <c r="N113" s="97">
        <f t="shared" si="5"/>
        <v>295561.4647</v>
      </c>
      <c r="O113" s="104">
        <f t="shared" si="14"/>
        <v>97</v>
      </c>
      <c r="P113" s="105">
        <f t="shared" si="6"/>
        <v>733.2993644</v>
      </c>
      <c r="Q113" s="105">
        <f t="shared" si="7"/>
        <v>600.6242561</v>
      </c>
      <c r="R113" s="105">
        <f t="shared" si="8"/>
        <v>132.6751083</v>
      </c>
      <c r="S113" s="105">
        <f t="shared" si="9"/>
        <v>31241.40173</v>
      </c>
      <c r="T113" s="105">
        <f t="shared" si="10"/>
        <v>48043.59827</v>
      </c>
      <c r="U113" s="105">
        <f t="shared" si="11"/>
        <v>23086.44008</v>
      </c>
      <c r="V113" s="2"/>
      <c r="W113" s="2"/>
      <c r="X113" s="2"/>
      <c r="Y113" s="224"/>
      <c r="Z113" s="224"/>
      <c r="AA113" s="224"/>
      <c r="AB113" s="224"/>
      <c r="AC113" s="224"/>
      <c r="AD113" s="224"/>
      <c r="AE113" s="224"/>
      <c r="AF113" s="224"/>
      <c r="AG113" s="224"/>
      <c r="AH113" s="224"/>
      <c r="AI113" s="224"/>
      <c r="AJ113" s="224"/>
      <c r="AK113" s="224"/>
      <c r="AL113" s="224"/>
      <c r="AM113" s="224"/>
      <c r="AN113" s="224"/>
      <c r="AO113" s="2"/>
    </row>
    <row r="114" ht="14.25" customHeight="1">
      <c r="A114" s="28"/>
      <c r="C114" s="226"/>
      <c r="G114" s="7"/>
      <c r="H114" s="125">
        <f t="shared" si="20"/>
        <v>98</v>
      </c>
      <c r="I114" s="97">
        <f t="shared" si="18"/>
        <v>4289.139272</v>
      </c>
      <c r="J114" s="97">
        <f t="shared" si="19"/>
        <v>1501.079451</v>
      </c>
      <c r="K114" s="97">
        <f t="shared" si="4"/>
        <v>2788.059821</v>
      </c>
      <c r="L114" s="97">
        <f t="shared" si="16"/>
        <v>695522.078</v>
      </c>
      <c r="M114" s="97">
        <f t="shared" si="17"/>
        <v>121977.922</v>
      </c>
      <c r="N114" s="97">
        <f t="shared" si="5"/>
        <v>298349.5245</v>
      </c>
      <c r="O114" s="104">
        <f t="shared" si="14"/>
        <v>98</v>
      </c>
      <c r="P114" s="105">
        <f t="shared" si="6"/>
        <v>733.2993644</v>
      </c>
      <c r="Q114" s="105">
        <f t="shared" si="7"/>
        <v>603.1268572</v>
      </c>
      <c r="R114" s="105">
        <f t="shared" si="8"/>
        <v>130.1725072</v>
      </c>
      <c r="S114" s="105">
        <f t="shared" si="9"/>
        <v>30638.27488</v>
      </c>
      <c r="T114" s="105">
        <f t="shared" si="10"/>
        <v>48646.72512</v>
      </c>
      <c r="U114" s="105">
        <f t="shared" si="11"/>
        <v>23216.61259</v>
      </c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</row>
    <row r="115" ht="14.25" customHeight="1">
      <c r="A115" s="28"/>
      <c r="B115" s="28"/>
      <c r="C115" s="28"/>
      <c r="D115" s="28"/>
      <c r="E115" s="28"/>
      <c r="F115" s="28"/>
      <c r="G115" s="7"/>
      <c r="H115" s="125">
        <f t="shared" si="20"/>
        <v>99</v>
      </c>
      <c r="I115" s="97">
        <f t="shared" si="18"/>
        <v>4289.139272</v>
      </c>
      <c r="J115" s="97">
        <f t="shared" si="19"/>
        <v>1507.083768</v>
      </c>
      <c r="K115" s="97">
        <f t="shared" si="4"/>
        <v>2782.055503</v>
      </c>
      <c r="L115" s="97">
        <f t="shared" si="16"/>
        <v>694014.9942</v>
      </c>
      <c r="M115" s="97">
        <f t="shared" si="17"/>
        <v>123485.0058</v>
      </c>
      <c r="N115" s="97">
        <f t="shared" si="5"/>
        <v>301131.58</v>
      </c>
      <c r="O115" s="104">
        <f t="shared" si="14"/>
        <v>99</v>
      </c>
      <c r="P115" s="105">
        <f t="shared" si="6"/>
        <v>733.2993644</v>
      </c>
      <c r="Q115" s="105">
        <f t="shared" si="7"/>
        <v>605.6398857</v>
      </c>
      <c r="R115" s="105">
        <f t="shared" si="8"/>
        <v>127.6594787</v>
      </c>
      <c r="S115" s="105">
        <f t="shared" si="9"/>
        <v>30032.63499</v>
      </c>
      <c r="T115" s="105">
        <f t="shared" si="10"/>
        <v>49252.36501</v>
      </c>
      <c r="U115" s="105">
        <f t="shared" si="11"/>
        <v>23344.27207</v>
      </c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</row>
    <row r="116" ht="14.25" customHeight="1">
      <c r="A116" s="28"/>
      <c r="B116" s="223"/>
      <c r="G116" s="7"/>
      <c r="H116" s="125">
        <f t="shared" si="20"/>
        <v>100</v>
      </c>
      <c r="I116" s="97">
        <f t="shared" si="18"/>
        <v>4289.139272</v>
      </c>
      <c r="J116" s="97">
        <f t="shared" si="19"/>
        <v>1513.112103</v>
      </c>
      <c r="K116" s="97">
        <f t="shared" si="4"/>
        <v>2776.027168</v>
      </c>
      <c r="L116" s="97">
        <f t="shared" si="16"/>
        <v>692501.8821</v>
      </c>
      <c r="M116" s="97">
        <f t="shared" si="17"/>
        <v>124998.1179</v>
      </c>
      <c r="N116" s="97">
        <f t="shared" si="5"/>
        <v>303907.6072</v>
      </c>
      <c r="O116" s="104">
        <f t="shared" si="14"/>
        <v>100</v>
      </c>
      <c r="P116" s="105">
        <f t="shared" si="6"/>
        <v>733.2993644</v>
      </c>
      <c r="Q116" s="105">
        <f t="shared" si="7"/>
        <v>608.1633853</v>
      </c>
      <c r="R116" s="105">
        <f t="shared" si="8"/>
        <v>125.1359791</v>
      </c>
      <c r="S116" s="105">
        <f t="shared" si="9"/>
        <v>29424.47161</v>
      </c>
      <c r="T116" s="105">
        <f t="shared" si="10"/>
        <v>49860.52839</v>
      </c>
      <c r="U116" s="105">
        <f t="shared" si="11"/>
        <v>23469.40805</v>
      </c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</row>
    <row r="117" ht="14.25" customHeight="1">
      <c r="A117" s="28"/>
      <c r="G117" s="7"/>
      <c r="H117" s="125">
        <f t="shared" si="20"/>
        <v>101</v>
      </c>
      <c r="I117" s="97">
        <f t="shared" si="18"/>
        <v>4289.139272</v>
      </c>
      <c r="J117" s="97">
        <f t="shared" si="19"/>
        <v>1519.164552</v>
      </c>
      <c r="K117" s="97">
        <f t="shared" si="4"/>
        <v>2769.97472</v>
      </c>
      <c r="L117" s="97">
        <f t="shared" si="16"/>
        <v>690982.7175</v>
      </c>
      <c r="M117" s="97">
        <f t="shared" si="17"/>
        <v>126517.2825</v>
      </c>
      <c r="N117" s="97">
        <f t="shared" si="5"/>
        <v>306677.5819</v>
      </c>
      <c r="O117" s="104">
        <f t="shared" si="14"/>
        <v>101</v>
      </c>
      <c r="P117" s="105">
        <f t="shared" si="6"/>
        <v>733.2993644</v>
      </c>
      <c r="Q117" s="105">
        <f t="shared" si="7"/>
        <v>610.6973994</v>
      </c>
      <c r="R117" s="105">
        <f t="shared" si="8"/>
        <v>122.601965</v>
      </c>
      <c r="S117" s="105">
        <f t="shared" si="9"/>
        <v>28813.77421</v>
      </c>
      <c r="T117" s="105">
        <f t="shared" si="10"/>
        <v>50471.22579</v>
      </c>
      <c r="U117" s="105">
        <f t="shared" si="11"/>
        <v>23592.01001</v>
      </c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</row>
    <row r="118" ht="14.25" customHeight="1">
      <c r="A118" s="15"/>
      <c r="B118" s="228"/>
      <c r="G118" s="2"/>
      <c r="H118" s="125">
        <f t="shared" si="20"/>
        <v>102</v>
      </c>
      <c r="I118" s="97">
        <f t="shared" si="18"/>
        <v>4289.139272</v>
      </c>
      <c r="J118" s="97">
        <f t="shared" si="19"/>
        <v>1525.24121</v>
      </c>
      <c r="K118" s="97">
        <f t="shared" si="4"/>
        <v>2763.898062</v>
      </c>
      <c r="L118" s="97">
        <f t="shared" si="16"/>
        <v>689457.4763</v>
      </c>
      <c r="M118" s="97">
        <f t="shared" si="17"/>
        <v>128042.5237</v>
      </c>
      <c r="N118" s="97">
        <f t="shared" si="5"/>
        <v>309441.4799</v>
      </c>
      <c r="O118" s="104">
        <f t="shared" si="14"/>
        <v>102</v>
      </c>
      <c r="P118" s="105">
        <f t="shared" si="6"/>
        <v>733.2993644</v>
      </c>
      <c r="Q118" s="105">
        <f t="shared" si="7"/>
        <v>613.2419719</v>
      </c>
      <c r="R118" s="105">
        <f t="shared" si="8"/>
        <v>120.0573925</v>
      </c>
      <c r="S118" s="105">
        <f t="shared" si="9"/>
        <v>28200.53223</v>
      </c>
      <c r="T118" s="105">
        <f t="shared" si="10"/>
        <v>51084.46777</v>
      </c>
      <c r="U118" s="105">
        <f t="shared" si="11"/>
        <v>23712.0674</v>
      </c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</row>
    <row r="119" ht="14.25" customHeight="1">
      <c r="A119" s="2"/>
      <c r="B119" s="20"/>
      <c r="G119" s="2"/>
      <c r="H119" s="125">
        <f t="shared" si="20"/>
        <v>103</v>
      </c>
      <c r="I119" s="97">
        <f t="shared" si="18"/>
        <v>4289.139272</v>
      </c>
      <c r="J119" s="97">
        <f t="shared" si="19"/>
        <v>1531.342175</v>
      </c>
      <c r="K119" s="97">
        <f t="shared" si="4"/>
        <v>2757.797097</v>
      </c>
      <c r="L119" s="97">
        <f t="shared" si="16"/>
        <v>687926.1341</v>
      </c>
      <c r="M119" s="97">
        <f t="shared" si="17"/>
        <v>129573.8659</v>
      </c>
      <c r="N119" s="97">
        <f t="shared" si="5"/>
        <v>312199.277</v>
      </c>
      <c r="O119" s="104">
        <f t="shared" si="14"/>
        <v>103</v>
      </c>
      <c r="P119" s="105">
        <f t="shared" si="6"/>
        <v>733.2993644</v>
      </c>
      <c r="Q119" s="105">
        <f t="shared" si="7"/>
        <v>615.7971468</v>
      </c>
      <c r="R119" s="105">
        <f t="shared" si="8"/>
        <v>117.5022176</v>
      </c>
      <c r="S119" s="105">
        <f t="shared" si="9"/>
        <v>27584.73509</v>
      </c>
      <c r="T119" s="105">
        <f t="shared" si="10"/>
        <v>51700.26491</v>
      </c>
      <c r="U119" s="105">
        <f t="shared" si="11"/>
        <v>23829.56962</v>
      </c>
      <c r="V119" s="210"/>
      <c r="W119" s="210"/>
      <c r="X119" s="210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</row>
    <row r="120" ht="14.25" customHeight="1">
      <c r="A120" s="2"/>
      <c r="B120" s="229"/>
      <c r="C120" s="14"/>
      <c r="D120" s="14"/>
      <c r="E120" s="14"/>
      <c r="F120" s="14"/>
      <c r="G120" s="2"/>
      <c r="H120" s="125">
        <f t="shared" si="20"/>
        <v>104</v>
      </c>
      <c r="I120" s="97">
        <f t="shared" si="18"/>
        <v>4289.139272</v>
      </c>
      <c r="J120" s="97">
        <f t="shared" si="19"/>
        <v>1537.467544</v>
      </c>
      <c r="K120" s="97">
        <f t="shared" si="4"/>
        <v>2751.671728</v>
      </c>
      <c r="L120" s="97">
        <f t="shared" si="16"/>
        <v>686388.6666</v>
      </c>
      <c r="M120" s="97">
        <f t="shared" si="17"/>
        <v>131111.3334</v>
      </c>
      <c r="N120" s="97">
        <f t="shared" si="5"/>
        <v>314950.9488</v>
      </c>
      <c r="O120" s="104">
        <f t="shared" si="14"/>
        <v>104</v>
      </c>
      <c r="P120" s="105">
        <f t="shared" si="6"/>
        <v>733.2993644</v>
      </c>
      <c r="Q120" s="105">
        <f t="shared" si="7"/>
        <v>618.3629682</v>
      </c>
      <c r="R120" s="105">
        <f t="shared" si="8"/>
        <v>114.9363962</v>
      </c>
      <c r="S120" s="105">
        <f t="shared" si="9"/>
        <v>26966.37212</v>
      </c>
      <c r="T120" s="105">
        <f t="shared" si="10"/>
        <v>52318.62788</v>
      </c>
      <c r="U120" s="105">
        <f t="shared" si="11"/>
        <v>23944.50602</v>
      </c>
      <c r="V120" s="219"/>
      <c r="W120" s="219"/>
      <c r="X120" s="219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</row>
    <row r="121" ht="14.25" customHeight="1">
      <c r="A121" s="2"/>
      <c r="B121" s="20"/>
      <c r="G121" s="2"/>
      <c r="H121" s="125">
        <f t="shared" si="20"/>
        <v>105</v>
      </c>
      <c r="I121" s="97">
        <f t="shared" si="18"/>
        <v>4289.139272</v>
      </c>
      <c r="J121" s="97">
        <f t="shared" si="19"/>
        <v>1543.617414</v>
      </c>
      <c r="K121" s="97">
        <f t="shared" si="4"/>
        <v>2745.521858</v>
      </c>
      <c r="L121" s="97">
        <f t="shared" si="16"/>
        <v>684845.0492</v>
      </c>
      <c r="M121" s="97">
        <f t="shared" si="17"/>
        <v>132654.9508</v>
      </c>
      <c r="N121" s="97">
        <f t="shared" si="5"/>
        <v>317696.4706</v>
      </c>
      <c r="O121" s="104">
        <f t="shared" si="14"/>
        <v>105</v>
      </c>
      <c r="P121" s="105">
        <f t="shared" si="6"/>
        <v>733.2993644</v>
      </c>
      <c r="Q121" s="105">
        <f t="shared" si="7"/>
        <v>620.9394806</v>
      </c>
      <c r="R121" s="105">
        <f t="shared" si="8"/>
        <v>112.3598838</v>
      </c>
      <c r="S121" s="105">
        <f t="shared" si="9"/>
        <v>26345.43264</v>
      </c>
      <c r="T121" s="105">
        <f t="shared" si="10"/>
        <v>52939.56736</v>
      </c>
      <c r="U121" s="105">
        <f t="shared" si="11"/>
        <v>24056.8659</v>
      </c>
      <c r="V121" s="219"/>
      <c r="W121" s="219"/>
      <c r="X121" s="219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</row>
    <row r="122" ht="14.25" customHeight="1">
      <c r="A122" s="2"/>
      <c r="B122" s="229"/>
      <c r="C122" s="14"/>
      <c r="D122" s="14"/>
      <c r="E122" s="14"/>
      <c r="F122" s="14"/>
      <c r="G122" s="2"/>
      <c r="H122" s="125">
        <f t="shared" si="20"/>
        <v>106</v>
      </c>
      <c r="I122" s="97">
        <f t="shared" si="18"/>
        <v>4289.139272</v>
      </c>
      <c r="J122" s="97">
        <f t="shared" si="19"/>
        <v>1549.791883</v>
      </c>
      <c r="K122" s="97">
        <f t="shared" si="4"/>
        <v>2739.347388</v>
      </c>
      <c r="L122" s="97">
        <f t="shared" si="16"/>
        <v>683295.2573</v>
      </c>
      <c r="M122" s="97">
        <f t="shared" si="17"/>
        <v>134204.7427</v>
      </c>
      <c r="N122" s="97">
        <f t="shared" si="5"/>
        <v>320435.818</v>
      </c>
      <c r="O122" s="104">
        <f t="shared" si="14"/>
        <v>106</v>
      </c>
      <c r="P122" s="105">
        <f t="shared" si="6"/>
        <v>733.2993644</v>
      </c>
      <c r="Q122" s="105">
        <f t="shared" si="7"/>
        <v>623.5267284</v>
      </c>
      <c r="R122" s="105">
        <f t="shared" si="8"/>
        <v>109.772636</v>
      </c>
      <c r="S122" s="105">
        <f t="shared" si="9"/>
        <v>25721.90591</v>
      </c>
      <c r="T122" s="105">
        <f t="shared" si="10"/>
        <v>53563.09409</v>
      </c>
      <c r="U122" s="105">
        <f t="shared" si="11"/>
        <v>24166.63854</v>
      </c>
      <c r="V122" s="219"/>
      <c r="W122" s="219"/>
      <c r="X122" s="219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</row>
    <row r="123" ht="14.25" customHeight="1">
      <c r="A123" s="2"/>
      <c r="B123" s="20"/>
      <c r="G123" s="2"/>
      <c r="H123" s="125">
        <f t="shared" si="20"/>
        <v>107</v>
      </c>
      <c r="I123" s="97">
        <f t="shared" si="18"/>
        <v>4289.139272</v>
      </c>
      <c r="J123" s="97">
        <f t="shared" si="19"/>
        <v>1555.991051</v>
      </c>
      <c r="K123" s="97">
        <f t="shared" si="4"/>
        <v>2733.148221</v>
      </c>
      <c r="L123" s="97">
        <f t="shared" si="16"/>
        <v>681739.2663</v>
      </c>
      <c r="M123" s="97">
        <f t="shared" si="17"/>
        <v>135760.7337</v>
      </c>
      <c r="N123" s="97">
        <f t="shared" si="5"/>
        <v>323168.9662</v>
      </c>
      <c r="O123" s="104">
        <f t="shared" si="14"/>
        <v>107</v>
      </c>
      <c r="P123" s="105">
        <f t="shared" si="6"/>
        <v>733.2993644</v>
      </c>
      <c r="Q123" s="105">
        <f t="shared" si="7"/>
        <v>626.1247564</v>
      </c>
      <c r="R123" s="105">
        <f t="shared" si="8"/>
        <v>107.174608</v>
      </c>
      <c r="S123" s="105">
        <f t="shared" si="9"/>
        <v>25095.78115</v>
      </c>
      <c r="T123" s="105">
        <f t="shared" si="10"/>
        <v>54189.21885</v>
      </c>
      <c r="U123" s="105">
        <f t="shared" si="11"/>
        <v>24273.81314</v>
      </c>
      <c r="V123" s="224"/>
      <c r="W123" s="224"/>
      <c r="X123" s="224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</row>
    <row r="124" ht="14.25" customHeight="1">
      <c r="A124" s="2"/>
      <c r="B124" s="230"/>
      <c r="C124" s="231"/>
      <c r="D124" s="232"/>
      <c r="E124" s="14"/>
      <c r="F124" s="14"/>
      <c r="G124" s="2"/>
      <c r="H124" s="125">
        <f t="shared" si="20"/>
        <v>108</v>
      </c>
      <c r="I124" s="97">
        <f t="shared" si="18"/>
        <v>4289.139272</v>
      </c>
      <c r="J124" s="97">
        <f t="shared" si="19"/>
        <v>1562.215015</v>
      </c>
      <c r="K124" s="97">
        <f t="shared" si="4"/>
        <v>2726.924257</v>
      </c>
      <c r="L124" s="97">
        <f t="shared" si="16"/>
        <v>680177.0512</v>
      </c>
      <c r="M124" s="97">
        <f t="shared" si="17"/>
        <v>137322.9488</v>
      </c>
      <c r="N124" s="97">
        <f t="shared" si="5"/>
        <v>325895.8905</v>
      </c>
      <c r="O124" s="104">
        <f t="shared" si="14"/>
        <v>108</v>
      </c>
      <c r="P124" s="105">
        <f t="shared" si="6"/>
        <v>733.2993644</v>
      </c>
      <c r="Q124" s="105">
        <f t="shared" si="7"/>
        <v>628.7336096</v>
      </c>
      <c r="R124" s="105">
        <f t="shared" si="8"/>
        <v>104.5657548</v>
      </c>
      <c r="S124" s="105">
        <f t="shared" si="9"/>
        <v>24467.04754</v>
      </c>
      <c r="T124" s="105">
        <f t="shared" si="10"/>
        <v>54817.95246</v>
      </c>
      <c r="U124" s="105">
        <f t="shared" si="11"/>
        <v>24378.3789</v>
      </c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</row>
    <row r="125" ht="14.25" customHeight="1">
      <c r="A125" s="2"/>
      <c r="B125" s="175"/>
      <c r="C125" s="233"/>
      <c r="D125" s="20"/>
      <c r="G125" s="2"/>
      <c r="H125" s="125">
        <f t="shared" si="20"/>
        <v>109</v>
      </c>
      <c r="I125" s="97">
        <f t="shared" si="18"/>
        <v>4289.139272</v>
      </c>
      <c r="J125" s="97">
        <f t="shared" si="19"/>
        <v>1568.463875</v>
      </c>
      <c r="K125" s="97">
        <f t="shared" si="4"/>
        <v>2720.675397</v>
      </c>
      <c r="L125" s="97">
        <f t="shared" si="16"/>
        <v>678608.5874</v>
      </c>
      <c r="M125" s="97">
        <f t="shared" si="17"/>
        <v>138891.4126</v>
      </c>
      <c r="N125" s="97">
        <f t="shared" si="5"/>
        <v>328616.5659</v>
      </c>
      <c r="O125" s="104">
        <f t="shared" si="14"/>
        <v>109</v>
      </c>
      <c r="P125" s="105">
        <f t="shared" si="6"/>
        <v>733.2993644</v>
      </c>
      <c r="Q125" s="105">
        <f t="shared" si="7"/>
        <v>631.353333</v>
      </c>
      <c r="R125" s="105">
        <f t="shared" si="8"/>
        <v>101.9460314</v>
      </c>
      <c r="S125" s="105">
        <f t="shared" si="9"/>
        <v>23835.69421</v>
      </c>
      <c r="T125" s="105">
        <f t="shared" si="10"/>
        <v>55449.30579</v>
      </c>
      <c r="U125" s="105">
        <f t="shared" si="11"/>
        <v>24480.32493</v>
      </c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</row>
    <row r="126" ht="14.25" customHeight="1">
      <c r="A126" s="2"/>
      <c r="B126" s="2"/>
      <c r="C126" s="2"/>
      <c r="D126" s="2"/>
      <c r="E126" s="2"/>
      <c r="F126" s="2"/>
      <c r="G126" s="2"/>
      <c r="H126" s="125">
        <f t="shared" si="20"/>
        <v>110</v>
      </c>
      <c r="I126" s="97">
        <f t="shared" si="18"/>
        <v>4289.139272</v>
      </c>
      <c r="J126" s="97">
        <f t="shared" si="19"/>
        <v>1574.737731</v>
      </c>
      <c r="K126" s="97">
        <f t="shared" si="4"/>
        <v>2714.401541</v>
      </c>
      <c r="L126" s="97">
        <f t="shared" si="16"/>
        <v>677033.8496</v>
      </c>
      <c r="M126" s="97">
        <f t="shared" si="17"/>
        <v>140466.1504</v>
      </c>
      <c r="N126" s="97">
        <f t="shared" si="5"/>
        <v>331330.9674</v>
      </c>
      <c r="O126" s="104">
        <f t="shared" si="14"/>
        <v>110</v>
      </c>
      <c r="P126" s="105">
        <f t="shared" si="6"/>
        <v>733.2993644</v>
      </c>
      <c r="Q126" s="105">
        <f t="shared" si="7"/>
        <v>633.9839719</v>
      </c>
      <c r="R126" s="105">
        <f t="shared" si="8"/>
        <v>99.31539255</v>
      </c>
      <c r="S126" s="105">
        <f t="shared" si="9"/>
        <v>23201.71024</v>
      </c>
      <c r="T126" s="105">
        <f t="shared" si="10"/>
        <v>56083.28976</v>
      </c>
      <c r="U126" s="105">
        <f t="shared" si="11"/>
        <v>24579.64032</v>
      </c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</row>
    <row r="127" ht="14.25" customHeight="1">
      <c r="A127" s="2"/>
      <c r="B127" s="2"/>
      <c r="C127" s="2"/>
      <c r="D127" s="2"/>
      <c r="E127" s="2"/>
      <c r="F127" s="2"/>
      <c r="G127" s="2"/>
      <c r="H127" s="125">
        <f t="shared" si="20"/>
        <v>111</v>
      </c>
      <c r="I127" s="97">
        <f t="shared" si="18"/>
        <v>4289.139272</v>
      </c>
      <c r="J127" s="97">
        <f t="shared" si="19"/>
        <v>1581.036682</v>
      </c>
      <c r="K127" s="97">
        <f t="shared" si="4"/>
        <v>2708.10259</v>
      </c>
      <c r="L127" s="97">
        <f t="shared" si="16"/>
        <v>675452.813</v>
      </c>
      <c r="M127" s="97">
        <f t="shared" si="17"/>
        <v>142047.187</v>
      </c>
      <c r="N127" s="97">
        <f t="shared" si="5"/>
        <v>334039.07</v>
      </c>
      <c r="O127" s="104">
        <f t="shared" si="14"/>
        <v>111</v>
      </c>
      <c r="P127" s="105">
        <f t="shared" si="6"/>
        <v>733.2993644</v>
      </c>
      <c r="Q127" s="105">
        <f t="shared" si="7"/>
        <v>636.6255717</v>
      </c>
      <c r="R127" s="105">
        <f t="shared" si="8"/>
        <v>96.67379266</v>
      </c>
      <c r="S127" s="105">
        <f t="shared" si="9"/>
        <v>22565.08467</v>
      </c>
      <c r="T127" s="105">
        <f t="shared" si="10"/>
        <v>56719.91533</v>
      </c>
      <c r="U127" s="105">
        <f t="shared" si="11"/>
        <v>24676.31412</v>
      </c>
      <c r="V127" s="225"/>
      <c r="W127" s="225"/>
      <c r="X127" s="225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</row>
    <row r="128" ht="14.25" customHeight="1">
      <c r="A128" s="2"/>
      <c r="B128" s="2"/>
      <c r="C128" s="2"/>
      <c r="D128" s="2"/>
      <c r="E128" s="2"/>
      <c r="F128" s="2"/>
      <c r="G128" s="2"/>
      <c r="H128" s="125">
        <f t="shared" si="20"/>
        <v>112</v>
      </c>
      <c r="I128" s="97">
        <f t="shared" si="18"/>
        <v>4289.139272</v>
      </c>
      <c r="J128" s="97">
        <f t="shared" si="19"/>
        <v>1587.360828</v>
      </c>
      <c r="K128" s="97">
        <f t="shared" si="4"/>
        <v>2701.778443</v>
      </c>
      <c r="L128" s="97">
        <f t="shared" si="16"/>
        <v>673865.4521</v>
      </c>
      <c r="M128" s="97">
        <f t="shared" si="17"/>
        <v>143634.5479</v>
      </c>
      <c r="N128" s="97">
        <f t="shared" si="5"/>
        <v>336740.8485</v>
      </c>
      <c r="O128" s="104">
        <f t="shared" si="14"/>
        <v>112</v>
      </c>
      <c r="P128" s="105">
        <f t="shared" si="6"/>
        <v>733.2993644</v>
      </c>
      <c r="Q128" s="105">
        <f t="shared" si="7"/>
        <v>639.2781783</v>
      </c>
      <c r="R128" s="105">
        <f t="shared" si="8"/>
        <v>94.02118611</v>
      </c>
      <c r="S128" s="105">
        <f t="shared" si="9"/>
        <v>21925.80649</v>
      </c>
      <c r="T128" s="105">
        <f t="shared" si="10"/>
        <v>57359.19351</v>
      </c>
      <c r="U128" s="105">
        <f t="shared" si="11"/>
        <v>24770.3353</v>
      </c>
      <c r="V128" s="225"/>
      <c r="W128" s="225"/>
      <c r="X128" s="225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</row>
    <row r="129" ht="14.25" customHeight="1">
      <c r="A129" s="2"/>
      <c r="B129" s="2"/>
      <c r="C129" s="2"/>
      <c r="D129" s="2"/>
      <c r="E129" s="2"/>
      <c r="F129" s="2"/>
      <c r="G129" s="2"/>
      <c r="H129" s="125">
        <f t="shared" si="20"/>
        <v>113</v>
      </c>
      <c r="I129" s="97">
        <f t="shared" si="18"/>
        <v>4289.139272</v>
      </c>
      <c r="J129" s="97">
        <f t="shared" si="19"/>
        <v>1593.710272</v>
      </c>
      <c r="K129" s="97">
        <f t="shared" si="4"/>
        <v>2695.429</v>
      </c>
      <c r="L129" s="97">
        <f t="shared" si="16"/>
        <v>672271.7419</v>
      </c>
      <c r="M129" s="97">
        <f t="shared" si="17"/>
        <v>145228.2581</v>
      </c>
      <c r="N129" s="97">
        <f t="shared" si="5"/>
        <v>339436.2775</v>
      </c>
      <c r="O129" s="104">
        <f t="shared" si="14"/>
        <v>113</v>
      </c>
      <c r="P129" s="105">
        <f t="shared" si="6"/>
        <v>733.2993644</v>
      </c>
      <c r="Q129" s="105">
        <f t="shared" si="7"/>
        <v>641.9418374</v>
      </c>
      <c r="R129" s="105">
        <f t="shared" si="8"/>
        <v>91.35752704</v>
      </c>
      <c r="S129" s="105">
        <f t="shared" si="9"/>
        <v>21283.86465</v>
      </c>
      <c r="T129" s="105">
        <f t="shared" si="10"/>
        <v>58001.13535</v>
      </c>
      <c r="U129" s="105">
        <f t="shared" si="11"/>
        <v>24861.69283</v>
      </c>
      <c r="V129" s="225"/>
      <c r="W129" s="225"/>
      <c r="X129" s="225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</row>
    <row r="130" ht="14.25" customHeight="1">
      <c r="A130" s="2"/>
      <c r="B130" s="2"/>
      <c r="C130" s="2"/>
      <c r="D130" s="2"/>
      <c r="E130" s="2"/>
      <c r="F130" s="2"/>
      <c r="G130" s="2"/>
      <c r="H130" s="125">
        <f t="shared" si="20"/>
        <v>114</v>
      </c>
      <c r="I130" s="97">
        <f t="shared" si="18"/>
        <v>4289.139272</v>
      </c>
      <c r="J130" s="97">
        <f t="shared" si="19"/>
        <v>1600.085113</v>
      </c>
      <c r="K130" s="97">
        <f t="shared" si="4"/>
        <v>2689.054159</v>
      </c>
      <c r="L130" s="97">
        <f t="shared" si="16"/>
        <v>670671.6567</v>
      </c>
      <c r="M130" s="97">
        <f t="shared" si="17"/>
        <v>146828.3433</v>
      </c>
      <c r="N130" s="97">
        <f t="shared" si="5"/>
        <v>342125.3316</v>
      </c>
      <c r="O130" s="104">
        <f t="shared" si="14"/>
        <v>114</v>
      </c>
      <c r="P130" s="105">
        <f t="shared" si="6"/>
        <v>733.2993644</v>
      </c>
      <c r="Q130" s="105">
        <f t="shared" si="7"/>
        <v>644.616595</v>
      </c>
      <c r="R130" s="105">
        <f t="shared" si="8"/>
        <v>88.68276938</v>
      </c>
      <c r="S130" s="105">
        <f t="shared" si="9"/>
        <v>20639.24806</v>
      </c>
      <c r="T130" s="105">
        <f t="shared" si="10"/>
        <v>58645.75194</v>
      </c>
      <c r="U130" s="105">
        <f t="shared" si="11"/>
        <v>24950.3756</v>
      </c>
      <c r="V130" s="225"/>
      <c r="W130" s="225"/>
      <c r="X130" s="225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</row>
    <row r="131" ht="14.25" customHeight="1">
      <c r="A131" s="2"/>
      <c r="B131" s="2"/>
      <c r="C131" s="2"/>
      <c r="D131" s="2"/>
      <c r="E131" s="2"/>
      <c r="F131" s="2"/>
      <c r="G131" s="2"/>
      <c r="H131" s="125">
        <f t="shared" si="20"/>
        <v>115</v>
      </c>
      <c r="I131" s="97">
        <f t="shared" si="18"/>
        <v>4289.139272</v>
      </c>
      <c r="J131" s="97">
        <f t="shared" si="19"/>
        <v>1606.485453</v>
      </c>
      <c r="K131" s="97">
        <f t="shared" si="4"/>
        <v>2682.653819</v>
      </c>
      <c r="L131" s="97">
        <f t="shared" si="16"/>
        <v>669065.1713</v>
      </c>
      <c r="M131" s="97">
        <f t="shared" si="17"/>
        <v>148434.8287</v>
      </c>
      <c r="N131" s="97">
        <f t="shared" si="5"/>
        <v>344807.9854</v>
      </c>
      <c r="O131" s="104">
        <f t="shared" si="14"/>
        <v>115</v>
      </c>
      <c r="P131" s="105">
        <f t="shared" si="6"/>
        <v>733.2993644</v>
      </c>
      <c r="Q131" s="105">
        <f t="shared" si="7"/>
        <v>647.3024975</v>
      </c>
      <c r="R131" s="105">
        <f t="shared" si="8"/>
        <v>85.9968669</v>
      </c>
      <c r="S131" s="105">
        <f t="shared" si="9"/>
        <v>19991.94556</v>
      </c>
      <c r="T131" s="105">
        <f t="shared" si="10"/>
        <v>59293.05444</v>
      </c>
      <c r="U131" s="105">
        <f t="shared" si="11"/>
        <v>25036.37247</v>
      </c>
      <c r="V131" s="224"/>
      <c r="W131" s="224"/>
      <c r="X131" s="224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</row>
    <row r="132" ht="14.25" customHeight="1">
      <c r="A132" s="2"/>
      <c r="B132" s="2"/>
      <c r="C132" s="2"/>
      <c r="D132" s="2"/>
      <c r="E132" s="2"/>
      <c r="F132" s="2"/>
      <c r="G132" s="2"/>
      <c r="H132" s="125">
        <f t="shared" si="20"/>
        <v>116</v>
      </c>
      <c r="I132" s="97">
        <f t="shared" si="18"/>
        <v>4289.139272</v>
      </c>
      <c r="J132" s="97">
        <f t="shared" si="19"/>
        <v>1612.911395</v>
      </c>
      <c r="K132" s="97">
        <f t="shared" si="4"/>
        <v>2676.227877</v>
      </c>
      <c r="L132" s="97">
        <f t="shared" si="16"/>
        <v>667452.2599</v>
      </c>
      <c r="M132" s="97">
        <f t="shared" si="17"/>
        <v>150047.7401</v>
      </c>
      <c r="N132" s="97">
        <f t="shared" si="5"/>
        <v>347484.2133</v>
      </c>
      <c r="O132" s="104">
        <f t="shared" si="14"/>
        <v>116</v>
      </c>
      <c r="P132" s="105">
        <f t="shared" si="6"/>
        <v>733.2993644</v>
      </c>
      <c r="Q132" s="105">
        <f t="shared" si="7"/>
        <v>649.9995912</v>
      </c>
      <c r="R132" s="105">
        <f t="shared" si="8"/>
        <v>83.29977316</v>
      </c>
      <c r="S132" s="105">
        <f t="shared" si="9"/>
        <v>19341.94597</v>
      </c>
      <c r="T132" s="105">
        <f t="shared" si="10"/>
        <v>59943.05403</v>
      </c>
      <c r="U132" s="105">
        <f t="shared" si="11"/>
        <v>25119.67224</v>
      </c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</row>
    <row r="133" ht="14.25" customHeight="1">
      <c r="A133" s="2"/>
      <c r="B133" s="2"/>
      <c r="C133" s="2"/>
      <c r="D133" s="2"/>
      <c r="E133" s="2"/>
      <c r="F133" s="2"/>
      <c r="G133" s="2"/>
      <c r="H133" s="125">
        <f t="shared" si="20"/>
        <v>117</v>
      </c>
      <c r="I133" s="97">
        <f t="shared" si="18"/>
        <v>4289.139272</v>
      </c>
      <c r="J133" s="97">
        <f t="shared" si="19"/>
        <v>1619.363041</v>
      </c>
      <c r="K133" s="97">
        <f t="shared" si="4"/>
        <v>2669.776231</v>
      </c>
      <c r="L133" s="97">
        <f t="shared" si="16"/>
        <v>665832.8969</v>
      </c>
      <c r="M133" s="97">
        <f t="shared" si="17"/>
        <v>151667.1031</v>
      </c>
      <c r="N133" s="97">
        <f t="shared" si="5"/>
        <v>350153.9895</v>
      </c>
      <c r="O133" s="104">
        <f t="shared" si="14"/>
        <v>117</v>
      </c>
      <c r="P133" s="105">
        <f t="shared" si="6"/>
        <v>733.2993644</v>
      </c>
      <c r="Q133" s="105">
        <f t="shared" si="7"/>
        <v>652.7079229</v>
      </c>
      <c r="R133" s="105">
        <f t="shared" si="8"/>
        <v>80.59144153</v>
      </c>
      <c r="S133" s="105">
        <f t="shared" si="9"/>
        <v>18689.23805</v>
      </c>
      <c r="T133" s="105">
        <f t="shared" si="10"/>
        <v>60595.76195</v>
      </c>
      <c r="U133" s="105">
        <f t="shared" si="11"/>
        <v>25200.26368</v>
      </c>
      <c r="V133" s="224"/>
      <c r="W133" s="224"/>
      <c r="X133" s="224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</row>
    <row r="134" ht="14.25" customHeight="1">
      <c r="A134" s="2"/>
      <c r="B134" s="2"/>
      <c r="C134" s="2"/>
      <c r="D134" s="2"/>
      <c r="E134" s="2"/>
      <c r="F134" s="2"/>
      <c r="G134" s="2"/>
      <c r="H134" s="125">
        <f t="shared" si="20"/>
        <v>118</v>
      </c>
      <c r="I134" s="97">
        <f t="shared" si="18"/>
        <v>4289.139272</v>
      </c>
      <c r="J134" s="97">
        <f t="shared" si="19"/>
        <v>1625.840493</v>
      </c>
      <c r="K134" s="97">
        <f t="shared" si="4"/>
        <v>2663.298779</v>
      </c>
      <c r="L134" s="97">
        <f t="shared" si="16"/>
        <v>664207.0564</v>
      </c>
      <c r="M134" s="97">
        <f t="shared" si="17"/>
        <v>153292.9436</v>
      </c>
      <c r="N134" s="97">
        <f t="shared" si="5"/>
        <v>352817.2883</v>
      </c>
      <c r="O134" s="104">
        <f t="shared" si="14"/>
        <v>118</v>
      </c>
      <c r="P134" s="105">
        <f t="shared" si="6"/>
        <v>733.2993644</v>
      </c>
      <c r="Q134" s="105">
        <f t="shared" si="7"/>
        <v>655.4275392</v>
      </c>
      <c r="R134" s="105">
        <f t="shared" si="8"/>
        <v>77.87182519</v>
      </c>
      <c r="S134" s="105">
        <f t="shared" si="9"/>
        <v>18033.81051</v>
      </c>
      <c r="T134" s="105">
        <f t="shared" si="10"/>
        <v>61251.18949</v>
      </c>
      <c r="U134" s="105">
        <f t="shared" si="11"/>
        <v>25278.13551</v>
      </c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</row>
    <row r="135" ht="14.25" customHeight="1">
      <c r="A135" s="2"/>
      <c r="B135" s="2"/>
      <c r="C135" s="2"/>
      <c r="D135" s="2"/>
      <c r="E135" s="2"/>
      <c r="F135" s="2"/>
      <c r="G135" s="2"/>
      <c r="H135" s="125">
        <f t="shared" si="20"/>
        <v>119</v>
      </c>
      <c r="I135" s="97">
        <f t="shared" si="18"/>
        <v>4289.139272</v>
      </c>
      <c r="J135" s="97">
        <f t="shared" si="19"/>
        <v>1632.343855</v>
      </c>
      <c r="K135" s="97">
        <f t="shared" si="4"/>
        <v>2656.795417</v>
      </c>
      <c r="L135" s="97">
        <f t="shared" si="16"/>
        <v>662574.7125</v>
      </c>
      <c r="M135" s="97">
        <f t="shared" si="17"/>
        <v>154925.2875</v>
      </c>
      <c r="N135" s="97">
        <f t="shared" si="5"/>
        <v>355474.0837</v>
      </c>
      <c r="O135" s="104">
        <f t="shared" si="14"/>
        <v>119</v>
      </c>
      <c r="P135" s="105">
        <f t="shared" si="6"/>
        <v>733.2993644</v>
      </c>
      <c r="Q135" s="105">
        <f t="shared" si="7"/>
        <v>658.1584873</v>
      </c>
      <c r="R135" s="105">
        <f t="shared" si="8"/>
        <v>75.14087711</v>
      </c>
      <c r="S135" s="105">
        <f t="shared" si="9"/>
        <v>17375.65202</v>
      </c>
      <c r="T135" s="105">
        <f t="shared" si="10"/>
        <v>61909.34798</v>
      </c>
      <c r="U135" s="105">
        <f t="shared" si="11"/>
        <v>25353.27638</v>
      </c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</row>
    <row r="136" ht="14.25" customHeight="1">
      <c r="A136" s="2"/>
      <c r="B136" s="2"/>
      <c r="C136" s="2"/>
      <c r="D136" s="2"/>
      <c r="E136" s="2"/>
      <c r="F136" s="2"/>
      <c r="G136" s="2"/>
      <c r="H136" s="125">
        <f t="shared" si="20"/>
        <v>120</v>
      </c>
      <c r="I136" s="97">
        <f t="shared" si="18"/>
        <v>4289.139272</v>
      </c>
      <c r="J136" s="97">
        <f t="shared" si="19"/>
        <v>1638.87323</v>
      </c>
      <c r="K136" s="97">
        <f t="shared" si="4"/>
        <v>2650.266042</v>
      </c>
      <c r="L136" s="97">
        <f t="shared" si="16"/>
        <v>660935.8393</v>
      </c>
      <c r="M136" s="97">
        <f t="shared" si="17"/>
        <v>156564.1607</v>
      </c>
      <c r="N136" s="97">
        <f t="shared" si="5"/>
        <v>358124.3498</v>
      </c>
      <c r="O136" s="104">
        <f t="shared" si="14"/>
        <v>120</v>
      </c>
      <c r="P136" s="105">
        <f t="shared" si="6"/>
        <v>733.2993644</v>
      </c>
      <c r="Q136" s="105">
        <f t="shared" si="7"/>
        <v>660.9008143</v>
      </c>
      <c r="R136" s="105">
        <f t="shared" si="8"/>
        <v>72.39855008</v>
      </c>
      <c r="S136" s="105">
        <f t="shared" si="9"/>
        <v>16714.7512</v>
      </c>
      <c r="T136" s="105">
        <f t="shared" si="10"/>
        <v>62570.2488</v>
      </c>
      <c r="U136" s="105">
        <f t="shared" si="11"/>
        <v>25425.67493</v>
      </c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</row>
    <row r="137" ht="14.25" customHeight="1">
      <c r="A137" s="2"/>
      <c r="B137" s="2"/>
      <c r="C137" s="2"/>
      <c r="D137" s="2"/>
      <c r="E137" s="2"/>
      <c r="F137" s="2"/>
      <c r="G137" s="2"/>
      <c r="H137" s="125">
        <f t="shared" si="20"/>
        <v>121</v>
      </c>
      <c r="I137" s="97">
        <f t="shared" si="18"/>
        <v>4289.139272</v>
      </c>
      <c r="J137" s="97">
        <f t="shared" si="19"/>
        <v>1645.428723</v>
      </c>
      <c r="K137" s="97">
        <f t="shared" si="4"/>
        <v>2643.710549</v>
      </c>
      <c r="L137" s="97">
        <f t="shared" si="16"/>
        <v>659290.4106</v>
      </c>
      <c r="M137" s="97">
        <f t="shared" si="17"/>
        <v>158209.5894</v>
      </c>
      <c r="N137" s="97">
        <f t="shared" si="5"/>
        <v>360768.0603</v>
      </c>
      <c r="O137" s="104">
        <f t="shared" si="14"/>
        <v>121</v>
      </c>
      <c r="P137" s="105">
        <f t="shared" si="6"/>
        <v>733.2993644</v>
      </c>
      <c r="Q137" s="105">
        <f t="shared" si="7"/>
        <v>663.6545677</v>
      </c>
      <c r="R137" s="105">
        <f t="shared" si="8"/>
        <v>69.64479669</v>
      </c>
      <c r="S137" s="105">
        <f t="shared" si="9"/>
        <v>16051.09664</v>
      </c>
      <c r="T137" s="105">
        <f t="shared" si="10"/>
        <v>63233.90336</v>
      </c>
      <c r="U137" s="105">
        <f t="shared" si="11"/>
        <v>25495.31973</v>
      </c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</row>
    <row r="138" ht="14.25" customHeight="1">
      <c r="A138" s="2"/>
      <c r="B138" s="2"/>
      <c r="C138" s="2"/>
      <c r="D138" s="2"/>
      <c r="E138" s="2"/>
      <c r="F138" s="2"/>
      <c r="G138" s="2"/>
      <c r="H138" s="125">
        <f t="shared" si="20"/>
        <v>122</v>
      </c>
      <c r="I138" s="97">
        <f t="shared" si="18"/>
        <v>4289.139272</v>
      </c>
      <c r="J138" s="97">
        <f t="shared" si="19"/>
        <v>1652.010438</v>
      </c>
      <c r="K138" s="97">
        <f t="shared" si="4"/>
        <v>2637.128834</v>
      </c>
      <c r="L138" s="97">
        <f t="shared" si="16"/>
        <v>657638.4001</v>
      </c>
      <c r="M138" s="97">
        <f t="shared" si="17"/>
        <v>159861.5999</v>
      </c>
      <c r="N138" s="97">
        <f t="shared" si="5"/>
        <v>363405.1892</v>
      </c>
      <c r="O138" s="104">
        <f t="shared" si="14"/>
        <v>122</v>
      </c>
      <c r="P138" s="105">
        <f t="shared" si="6"/>
        <v>733.2993644</v>
      </c>
      <c r="Q138" s="105">
        <f t="shared" si="7"/>
        <v>666.4197951</v>
      </c>
      <c r="R138" s="105">
        <f t="shared" si="8"/>
        <v>66.87956932</v>
      </c>
      <c r="S138" s="105">
        <f t="shared" si="9"/>
        <v>15384.67684</v>
      </c>
      <c r="T138" s="105">
        <f t="shared" si="10"/>
        <v>63900.32316</v>
      </c>
      <c r="U138" s="105">
        <f t="shared" si="11"/>
        <v>25562.1993</v>
      </c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</row>
    <row r="139" ht="14.25" customHeight="1">
      <c r="A139" s="2"/>
      <c r="B139" s="2"/>
      <c r="C139" s="2"/>
      <c r="D139" s="2"/>
      <c r="E139" s="2"/>
      <c r="F139" s="2"/>
      <c r="G139" s="2"/>
      <c r="H139" s="125">
        <f t="shared" si="20"/>
        <v>123</v>
      </c>
      <c r="I139" s="97">
        <f t="shared" si="18"/>
        <v>4289.139272</v>
      </c>
      <c r="J139" s="97">
        <f t="shared" si="19"/>
        <v>1658.61848</v>
      </c>
      <c r="K139" s="97">
        <f t="shared" si="4"/>
        <v>2630.520792</v>
      </c>
      <c r="L139" s="97">
        <f t="shared" si="16"/>
        <v>655979.7816</v>
      </c>
      <c r="M139" s="97">
        <f t="shared" si="17"/>
        <v>161520.2184</v>
      </c>
      <c r="N139" s="97">
        <f t="shared" si="5"/>
        <v>366035.71</v>
      </c>
      <c r="O139" s="104">
        <f t="shared" si="14"/>
        <v>123</v>
      </c>
      <c r="P139" s="105">
        <f t="shared" si="6"/>
        <v>733.2993644</v>
      </c>
      <c r="Q139" s="105">
        <f t="shared" si="7"/>
        <v>669.1965442</v>
      </c>
      <c r="R139" s="105">
        <f t="shared" si="8"/>
        <v>64.10282017</v>
      </c>
      <c r="S139" s="105">
        <f t="shared" si="9"/>
        <v>14715.4803</v>
      </c>
      <c r="T139" s="105">
        <f t="shared" si="10"/>
        <v>64569.5197</v>
      </c>
      <c r="U139" s="105">
        <f t="shared" si="11"/>
        <v>25626.30212</v>
      </c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</row>
    <row r="140" ht="14.25" customHeight="1">
      <c r="A140" s="2"/>
      <c r="B140" s="2"/>
      <c r="C140" s="2"/>
      <c r="D140" s="2"/>
      <c r="E140" s="2"/>
      <c r="F140" s="2"/>
      <c r="G140" s="2"/>
      <c r="H140" s="125">
        <f t="shared" si="20"/>
        <v>124</v>
      </c>
      <c r="I140" s="97">
        <f t="shared" si="18"/>
        <v>4289.139272</v>
      </c>
      <c r="J140" s="97">
        <f t="shared" si="19"/>
        <v>1665.252954</v>
      </c>
      <c r="K140" s="97">
        <f t="shared" si="4"/>
        <v>2623.886318</v>
      </c>
      <c r="L140" s="97">
        <f t="shared" si="16"/>
        <v>654314.5287</v>
      </c>
      <c r="M140" s="97">
        <f t="shared" si="17"/>
        <v>163185.4713</v>
      </c>
      <c r="N140" s="97">
        <f t="shared" si="5"/>
        <v>368659.5963</v>
      </c>
      <c r="O140" s="104">
        <f t="shared" si="14"/>
        <v>124</v>
      </c>
      <c r="P140" s="105">
        <f t="shared" si="6"/>
        <v>733.2993644</v>
      </c>
      <c r="Q140" s="105">
        <f t="shared" si="7"/>
        <v>671.9848632</v>
      </c>
      <c r="R140" s="105">
        <f t="shared" si="8"/>
        <v>61.31450124</v>
      </c>
      <c r="S140" s="105">
        <f t="shared" si="9"/>
        <v>14043.49543</v>
      </c>
      <c r="T140" s="105">
        <f t="shared" si="10"/>
        <v>65241.50457</v>
      </c>
      <c r="U140" s="105">
        <f t="shared" si="11"/>
        <v>25687.61662</v>
      </c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</row>
    <row r="141" ht="14.25" customHeight="1">
      <c r="A141" s="2"/>
      <c r="B141" s="2"/>
      <c r="C141" s="2"/>
      <c r="D141" s="2"/>
      <c r="E141" s="2"/>
      <c r="F141" s="2"/>
      <c r="G141" s="2"/>
      <c r="H141" s="125">
        <f t="shared" si="20"/>
        <v>125</v>
      </c>
      <c r="I141" s="97">
        <f t="shared" si="18"/>
        <v>4289.139272</v>
      </c>
      <c r="J141" s="97">
        <f t="shared" si="19"/>
        <v>1671.913965</v>
      </c>
      <c r="K141" s="97">
        <f t="shared" si="4"/>
        <v>2617.225306</v>
      </c>
      <c r="L141" s="97">
        <f t="shared" si="16"/>
        <v>652642.6147</v>
      </c>
      <c r="M141" s="97">
        <f t="shared" si="17"/>
        <v>164857.3853</v>
      </c>
      <c r="N141" s="97">
        <f t="shared" si="5"/>
        <v>371276.8216</v>
      </c>
      <c r="O141" s="104">
        <f t="shared" si="14"/>
        <v>125</v>
      </c>
      <c r="P141" s="105">
        <f t="shared" si="6"/>
        <v>733.2993644</v>
      </c>
      <c r="Q141" s="105">
        <f t="shared" si="7"/>
        <v>674.7848001</v>
      </c>
      <c r="R141" s="105">
        <f t="shared" si="8"/>
        <v>58.51456431</v>
      </c>
      <c r="S141" s="105">
        <f t="shared" si="9"/>
        <v>13368.71063</v>
      </c>
      <c r="T141" s="105">
        <f t="shared" si="10"/>
        <v>65916.28937</v>
      </c>
      <c r="U141" s="105">
        <f t="shared" si="11"/>
        <v>25746.13118</v>
      </c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</row>
    <row r="142" ht="14.25" customHeight="1">
      <c r="A142" s="2"/>
      <c r="B142" s="2"/>
      <c r="C142" s="2"/>
      <c r="D142" s="2"/>
      <c r="E142" s="2"/>
      <c r="F142" s="2"/>
      <c r="G142" s="2"/>
      <c r="H142" s="125">
        <f t="shared" si="20"/>
        <v>126</v>
      </c>
      <c r="I142" s="97">
        <f t="shared" si="18"/>
        <v>4289.139272</v>
      </c>
      <c r="J142" s="97">
        <f t="shared" si="19"/>
        <v>1678.601621</v>
      </c>
      <c r="K142" s="97">
        <f t="shared" si="4"/>
        <v>2610.53765</v>
      </c>
      <c r="L142" s="97">
        <f t="shared" si="16"/>
        <v>650964.0131</v>
      </c>
      <c r="M142" s="97">
        <f t="shared" si="17"/>
        <v>166535.9869</v>
      </c>
      <c r="N142" s="97">
        <f t="shared" si="5"/>
        <v>373887.3592</v>
      </c>
      <c r="O142" s="104">
        <f t="shared" si="14"/>
        <v>126</v>
      </c>
      <c r="P142" s="105">
        <f t="shared" si="6"/>
        <v>733.2993644</v>
      </c>
      <c r="Q142" s="105">
        <f t="shared" si="7"/>
        <v>677.5964034</v>
      </c>
      <c r="R142" s="105">
        <f t="shared" si="8"/>
        <v>55.70296098</v>
      </c>
      <c r="S142" s="105">
        <f t="shared" si="9"/>
        <v>12691.11423</v>
      </c>
      <c r="T142" s="105">
        <f t="shared" si="10"/>
        <v>66593.88577</v>
      </c>
      <c r="U142" s="105">
        <f t="shared" si="11"/>
        <v>25801.83415</v>
      </c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</row>
    <row r="143" ht="14.25" customHeight="1">
      <c r="A143" s="2"/>
      <c r="B143" s="2"/>
      <c r="C143" s="2"/>
      <c r="D143" s="2"/>
      <c r="E143" s="2"/>
      <c r="F143" s="2"/>
      <c r="G143" s="2"/>
      <c r="H143" s="125">
        <f t="shared" si="20"/>
        <v>127</v>
      </c>
      <c r="I143" s="97">
        <f t="shared" si="18"/>
        <v>4289.139272</v>
      </c>
      <c r="J143" s="97">
        <f t="shared" si="19"/>
        <v>1685.316028</v>
      </c>
      <c r="K143" s="97">
        <f t="shared" si="4"/>
        <v>2603.823244</v>
      </c>
      <c r="L143" s="97">
        <f t="shared" si="16"/>
        <v>649278.6971</v>
      </c>
      <c r="M143" s="97">
        <f t="shared" si="17"/>
        <v>168221.3029</v>
      </c>
      <c r="N143" s="97">
        <f t="shared" si="5"/>
        <v>376491.1825</v>
      </c>
      <c r="O143" s="104">
        <f t="shared" si="14"/>
        <v>127</v>
      </c>
      <c r="P143" s="105">
        <f t="shared" si="6"/>
        <v>733.2993644</v>
      </c>
      <c r="Q143" s="105">
        <f t="shared" si="7"/>
        <v>680.4197218</v>
      </c>
      <c r="R143" s="105">
        <f t="shared" si="8"/>
        <v>52.87964263</v>
      </c>
      <c r="S143" s="105">
        <f t="shared" si="9"/>
        <v>12010.69451</v>
      </c>
      <c r="T143" s="105">
        <f t="shared" si="10"/>
        <v>67274.30549</v>
      </c>
      <c r="U143" s="105">
        <f t="shared" si="11"/>
        <v>25854.71379</v>
      </c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</row>
    <row r="144" ht="14.25" customHeight="1">
      <c r="A144" s="2"/>
      <c r="B144" s="2"/>
      <c r="C144" s="2"/>
      <c r="D144" s="2"/>
      <c r="E144" s="2"/>
      <c r="F144" s="2"/>
      <c r="G144" s="2"/>
      <c r="H144" s="125">
        <f t="shared" si="20"/>
        <v>128</v>
      </c>
      <c r="I144" s="97">
        <f t="shared" si="18"/>
        <v>4289.139272</v>
      </c>
      <c r="J144" s="97">
        <f t="shared" si="19"/>
        <v>1692.057292</v>
      </c>
      <c r="K144" s="97">
        <f t="shared" si="4"/>
        <v>2597.08198</v>
      </c>
      <c r="L144" s="97">
        <f t="shared" si="16"/>
        <v>647586.6398</v>
      </c>
      <c r="M144" s="97">
        <f t="shared" si="17"/>
        <v>169913.3602</v>
      </c>
      <c r="N144" s="97">
        <f t="shared" si="5"/>
        <v>379088.2645</v>
      </c>
      <c r="O144" s="104">
        <f t="shared" si="14"/>
        <v>128</v>
      </c>
      <c r="P144" s="105">
        <f t="shared" si="6"/>
        <v>733.2993644</v>
      </c>
      <c r="Q144" s="105">
        <f t="shared" si="7"/>
        <v>683.2548039</v>
      </c>
      <c r="R144" s="105">
        <f t="shared" si="8"/>
        <v>50.04456045</v>
      </c>
      <c r="S144" s="105">
        <f t="shared" si="9"/>
        <v>11327.43971</v>
      </c>
      <c r="T144" s="105">
        <f t="shared" si="10"/>
        <v>67957.56029</v>
      </c>
      <c r="U144" s="105">
        <f t="shared" si="11"/>
        <v>25904.75835</v>
      </c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</row>
    <row r="145" ht="14.25" customHeight="1">
      <c r="A145" s="2"/>
      <c r="B145" s="2"/>
      <c r="C145" s="2"/>
      <c r="D145" s="2"/>
      <c r="E145" s="2"/>
      <c r="F145" s="2"/>
      <c r="G145" s="2"/>
      <c r="H145" s="125">
        <f t="shared" si="20"/>
        <v>129</v>
      </c>
      <c r="I145" s="97">
        <f t="shared" si="18"/>
        <v>4289.139272</v>
      </c>
      <c r="J145" s="97">
        <f t="shared" si="19"/>
        <v>1698.825521</v>
      </c>
      <c r="K145" s="97">
        <f t="shared" si="4"/>
        <v>2590.313751</v>
      </c>
      <c r="L145" s="97">
        <f t="shared" si="16"/>
        <v>645887.8143</v>
      </c>
      <c r="M145" s="97">
        <f t="shared" si="17"/>
        <v>171612.1857</v>
      </c>
      <c r="N145" s="97">
        <f t="shared" si="5"/>
        <v>381678.5782</v>
      </c>
      <c r="O145" s="104">
        <f t="shared" si="14"/>
        <v>129</v>
      </c>
      <c r="P145" s="105">
        <f t="shared" si="6"/>
        <v>733.2993644</v>
      </c>
      <c r="Q145" s="105">
        <f t="shared" si="7"/>
        <v>686.101699</v>
      </c>
      <c r="R145" s="105">
        <f t="shared" si="8"/>
        <v>47.19766544</v>
      </c>
      <c r="S145" s="105">
        <f t="shared" si="9"/>
        <v>10641.33801</v>
      </c>
      <c r="T145" s="105">
        <f t="shared" si="10"/>
        <v>68643.66199</v>
      </c>
      <c r="U145" s="105">
        <f t="shared" si="11"/>
        <v>25951.95601</v>
      </c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</row>
    <row r="146" ht="14.25" customHeight="1">
      <c r="A146" s="2"/>
      <c r="B146" s="2"/>
      <c r="C146" s="2"/>
      <c r="D146" s="2"/>
      <c r="E146" s="2"/>
      <c r="F146" s="2"/>
      <c r="G146" s="2"/>
      <c r="H146" s="125">
        <f t="shared" si="20"/>
        <v>130</v>
      </c>
      <c r="I146" s="97">
        <f t="shared" si="18"/>
        <v>4289.139272</v>
      </c>
      <c r="J146" s="97">
        <f t="shared" si="19"/>
        <v>1705.620823</v>
      </c>
      <c r="K146" s="97">
        <f t="shared" si="4"/>
        <v>2583.518449</v>
      </c>
      <c r="L146" s="97">
        <f t="shared" si="16"/>
        <v>644182.1934</v>
      </c>
      <c r="M146" s="97">
        <f t="shared" si="17"/>
        <v>173317.8066</v>
      </c>
      <c r="N146" s="97">
        <f t="shared" si="5"/>
        <v>384262.0967</v>
      </c>
      <c r="O146" s="104">
        <f t="shared" si="14"/>
        <v>130</v>
      </c>
      <c r="P146" s="105">
        <f t="shared" si="6"/>
        <v>733.2993644</v>
      </c>
      <c r="Q146" s="105">
        <f t="shared" si="7"/>
        <v>688.960456</v>
      </c>
      <c r="R146" s="105">
        <f t="shared" si="8"/>
        <v>44.33890836</v>
      </c>
      <c r="S146" s="105">
        <f t="shared" si="9"/>
        <v>9952.37755</v>
      </c>
      <c r="T146" s="105">
        <f t="shared" si="10"/>
        <v>69332.62245</v>
      </c>
      <c r="U146" s="105">
        <f t="shared" si="11"/>
        <v>25996.29492</v>
      </c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</row>
    <row r="147" ht="14.25" customHeight="1">
      <c r="A147" s="2"/>
      <c r="B147" s="2"/>
      <c r="C147" s="2"/>
      <c r="D147" s="2"/>
      <c r="E147" s="2"/>
      <c r="F147" s="2"/>
      <c r="G147" s="2"/>
      <c r="H147" s="125">
        <f t="shared" si="20"/>
        <v>131</v>
      </c>
      <c r="I147" s="97">
        <f t="shared" si="18"/>
        <v>4289.139272</v>
      </c>
      <c r="J147" s="97">
        <f t="shared" si="19"/>
        <v>1712.443306</v>
      </c>
      <c r="K147" s="97">
        <f t="shared" si="4"/>
        <v>2576.695965</v>
      </c>
      <c r="L147" s="97">
        <f t="shared" si="16"/>
        <v>642469.7501</v>
      </c>
      <c r="M147" s="97">
        <f t="shared" si="17"/>
        <v>175030.2499</v>
      </c>
      <c r="N147" s="97">
        <f t="shared" si="5"/>
        <v>386838.7926</v>
      </c>
      <c r="O147" s="104">
        <f t="shared" si="14"/>
        <v>131</v>
      </c>
      <c r="P147" s="105">
        <f t="shared" si="6"/>
        <v>733.2993644</v>
      </c>
      <c r="Q147" s="105">
        <f t="shared" si="7"/>
        <v>691.8311246</v>
      </c>
      <c r="R147" s="105">
        <f t="shared" si="8"/>
        <v>41.46823979</v>
      </c>
      <c r="S147" s="105">
        <f t="shared" si="9"/>
        <v>9260.546425</v>
      </c>
      <c r="T147" s="105">
        <f t="shared" si="10"/>
        <v>70024.45357</v>
      </c>
      <c r="U147" s="105">
        <f t="shared" si="11"/>
        <v>26037.76316</v>
      </c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</row>
    <row r="148" ht="14.25" customHeight="1">
      <c r="A148" s="2"/>
      <c r="B148" s="2"/>
      <c r="C148" s="2"/>
      <c r="D148" s="2"/>
      <c r="E148" s="2"/>
      <c r="F148" s="2"/>
      <c r="G148" s="2"/>
      <c r="H148" s="125">
        <f t="shared" si="20"/>
        <v>132</v>
      </c>
      <c r="I148" s="97">
        <f t="shared" si="18"/>
        <v>4289.139272</v>
      </c>
      <c r="J148" s="97">
        <f t="shared" si="19"/>
        <v>1719.29308</v>
      </c>
      <c r="K148" s="97">
        <f t="shared" si="4"/>
        <v>2569.846192</v>
      </c>
      <c r="L148" s="97">
        <f t="shared" si="16"/>
        <v>640750.457</v>
      </c>
      <c r="M148" s="97">
        <f t="shared" si="17"/>
        <v>176749.543</v>
      </c>
      <c r="N148" s="97">
        <f t="shared" si="5"/>
        <v>389408.6388</v>
      </c>
      <c r="O148" s="104">
        <f t="shared" si="14"/>
        <v>132</v>
      </c>
      <c r="P148" s="105">
        <f t="shared" si="6"/>
        <v>733.2993644</v>
      </c>
      <c r="Q148" s="105">
        <f t="shared" si="7"/>
        <v>694.7137543</v>
      </c>
      <c r="R148" s="105">
        <f t="shared" si="8"/>
        <v>38.58561011</v>
      </c>
      <c r="S148" s="105">
        <f t="shared" si="9"/>
        <v>8565.832671</v>
      </c>
      <c r="T148" s="105">
        <f t="shared" si="10"/>
        <v>70719.16733</v>
      </c>
      <c r="U148" s="105">
        <f t="shared" si="11"/>
        <v>26076.34877</v>
      </c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</row>
    <row r="149" ht="14.25" customHeight="1">
      <c r="A149" s="2"/>
      <c r="B149" s="2"/>
      <c r="C149" s="2"/>
      <c r="D149" s="2"/>
      <c r="E149" s="2"/>
      <c r="F149" s="2"/>
      <c r="G149" s="2"/>
      <c r="H149" s="125">
        <f t="shared" si="20"/>
        <v>133</v>
      </c>
      <c r="I149" s="97">
        <f t="shared" si="18"/>
        <v>4289.139272</v>
      </c>
      <c r="J149" s="97">
        <f t="shared" si="19"/>
        <v>1726.170252</v>
      </c>
      <c r="K149" s="97">
        <f t="shared" si="4"/>
        <v>2562.96902</v>
      </c>
      <c r="L149" s="97">
        <f t="shared" si="16"/>
        <v>639024.2868</v>
      </c>
      <c r="M149" s="97">
        <f t="shared" si="17"/>
        <v>178475.7132</v>
      </c>
      <c r="N149" s="97">
        <f t="shared" si="5"/>
        <v>391971.6078</v>
      </c>
      <c r="O149" s="104">
        <f t="shared" si="14"/>
        <v>133</v>
      </c>
      <c r="P149" s="105">
        <f t="shared" si="6"/>
        <v>733.2993644</v>
      </c>
      <c r="Q149" s="105">
        <f t="shared" si="7"/>
        <v>697.6083949</v>
      </c>
      <c r="R149" s="105">
        <f t="shared" si="8"/>
        <v>35.69096946</v>
      </c>
      <c r="S149" s="105">
        <f t="shared" si="9"/>
        <v>7868.224276</v>
      </c>
      <c r="T149" s="105">
        <f t="shared" si="10"/>
        <v>71416.77572</v>
      </c>
      <c r="U149" s="105">
        <f t="shared" si="11"/>
        <v>26112.03974</v>
      </c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</row>
    <row r="150" ht="14.25" customHeight="1">
      <c r="A150" s="2"/>
      <c r="B150" s="2"/>
      <c r="C150" s="2"/>
      <c r="D150" s="2"/>
      <c r="E150" s="2"/>
      <c r="F150" s="2"/>
      <c r="G150" s="2"/>
      <c r="H150" s="125">
        <f t="shared" si="20"/>
        <v>134</v>
      </c>
      <c r="I150" s="97">
        <f t="shared" si="18"/>
        <v>4289.139272</v>
      </c>
      <c r="J150" s="97">
        <f t="shared" si="19"/>
        <v>1733.074933</v>
      </c>
      <c r="K150" s="97">
        <f t="shared" si="4"/>
        <v>2556.064339</v>
      </c>
      <c r="L150" s="97">
        <f t="shared" si="16"/>
        <v>637291.2119</v>
      </c>
      <c r="M150" s="97">
        <f t="shared" si="17"/>
        <v>180208.7881</v>
      </c>
      <c r="N150" s="97">
        <f t="shared" si="5"/>
        <v>394527.6722</v>
      </c>
      <c r="O150" s="104">
        <f t="shared" si="14"/>
        <v>134</v>
      </c>
      <c r="P150" s="105">
        <f t="shared" si="6"/>
        <v>733.2993644</v>
      </c>
      <c r="Q150" s="105">
        <f t="shared" si="7"/>
        <v>700.5150966</v>
      </c>
      <c r="R150" s="105">
        <f t="shared" si="8"/>
        <v>32.78426782</v>
      </c>
      <c r="S150" s="105">
        <f t="shared" si="9"/>
        <v>7167.70918</v>
      </c>
      <c r="T150" s="105">
        <f t="shared" si="10"/>
        <v>72117.29082</v>
      </c>
      <c r="U150" s="105">
        <f t="shared" si="11"/>
        <v>26144.82401</v>
      </c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</row>
    <row r="151" ht="14.25" customHeight="1">
      <c r="A151" s="2"/>
      <c r="B151" s="2"/>
      <c r="C151" s="2"/>
      <c r="D151" s="2"/>
      <c r="E151" s="2"/>
      <c r="F151" s="2"/>
      <c r="G151" s="2"/>
      <c r="H151" s="125">
        <f t="shared" si="20"/>
        <v>135</v>
      </c>
      <c r="I151" s="97">
        <f t="shared" si="18"/>
        <v>4289.139272</v>
      </c>
      <c r="J151" s="97">
        <f t="shared" si="19"/>
        <v>1740.007233</v>
      </c>
      <c r="K151" s="97">
        <f t="shared" si="4"/>
        <v>2549.132039</v>
      </c>
      <c r="L151" s="97">
        <f t="shared" si="16"/>
        <v>635551.2046</v>
      </c>
      <c r="M151" s="97">
        <f t="shared" si="17"/>
        <v>181948.7954</v>
      </c>
      <c r="N151" s="97">
        <f t="shared" si="5"/>
        <v>397076.8042</v>
      </c>
      <c r="O151" s="104">
        <f t="shared" si="14"/>
        <v>135</v>
      </c>
      <c r="P151" s="105">
        <f t="shared" si="6"/>
        <v>733.2993644</v>
      </c>
      <c r="Q151" s="105">
        <f t="shared" si="7"/>
        <v>703.4339095</v>
      </c>
      <c r="R151" s="105">
        <f t="shared" si="8"/>
        <v>29.86545492</v>
      </c>
      <c r="S151" s="105">
        <f t="shared" si="9"/>
        <v>6464.27527</v>
      </c>
      <c r="T151" s="105">
        <f t="shared" si="10"/>
        <v>72820.72473</v>
      </c>
      <c r="U151" s="105">
        <f t="shared" si="11"/>
        <v>26174.68946</v>
      </c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</row>
    <row r="152" ht="14.25" customHeight="1">
      <c r="A152" s="2"/>
      <c r="B152" s="2"/>
      <c r="C152" s="2"/>
      <c r="D152" s="2"/>
      <c r="E152" s="2"/>
      <c r="F152" s="2"/>
      <c r="G152" s="2"/>
      <c r="H152" s="125">
        <f t="shared" si="20"/>
        <v>136</v>
      </c>
      <c r="I152" s="97">
        <f t="shared" si="18"/>
        <v>4289.139272</v>
      </c>
      <c r="J152" s="97">
        <f t="shared" si="19"/>
        <v>1746.967262</v>
      </c>
      <c r="K152" s="97">
        <f t="shared" si="4"/>
        <v>2542.17201</v>
      </c>
      <c r="L152" s="97">
        <f t="shared" si="16"/>
        <v>633804.2374</v>
      </c>
      <c r="M152" s="97">
        <f t="shared" si="17"/>
        <v>183695.7626</v>
      </c>
      <c r="N152" s="97">
        <f t="shared" si="5"/>
        <v>399618.9762</v>
      </c>
      <c r="O152" s="104">
        <f t="shared" si="14"/>
        <v>136</v>
      </c>
      <c r="P152" s="105">
        <f t="shared" si="6"/>
        <v>733.2993644</v>
      </c>
      <c r="Q152" s="105">
        <f t="shared" si="7"/>
        <v>706.3648841</v>
      </c>
      <c r="R152" s="105">
        <f t="shared" si="8"/>
        <v>26.93448029</v>
      </c>
      <c r="S152" s="105">
        <f t="shared" si="9"/>
        <v>5757.910386</v>
      </c>
      <c r="T152" s="105">
        <f t="shared" si="10"/>
        <v>73527.08961</v>
      </c>
      <c r="U152" s="105">
        <f t="shared" si="11"/>
        <v>26201.62394</v>
      </c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</row>
    <row r="153" ht="14.25" customHeight="1">
      <c r="A153" s="2"/>
      <c r="B153" s="2"/>
      <c r="C153" s="2"/>
      <c r="D153" s="2"/>
      <c r="E153" s="2"/>
      <c r="F153" s="2"/>
      <c r="G153" s="2"/>
      <c r="H153" s="125">
        <f t="shared" si="20"/>
        <v>137</v>
      </c>
      <c r="I153" s="97">
        <f t="shared" si="18"/>
        <v>4289.139272</v>
      </c>
      <c r="J153" s="97">
        <f t="shared" si="19"/>
        <v>1753.955131</v>
      </c>
      <c r="K153" s="97">
        <f t="shared" si="4"/>
        <v>2535.184141</v>
      </c>
      <c r="L153" s="97">
        <f t="shared" si="16"/>
        <v>632050.2822</v>
      </c>
      <c r="M153" s="97">
        <f t="shared" si="17"/>
        <v>185449.7178</v>
      </c>
      <c r="N153" s="97">
        <f t="shared" si="5"/>
        <v>402154.1604</v>
      </c>
      <c r="O153" s="104">
        <f t="shared" si="14"/>
        <v>137</v>
      </c>
      <c r="P153" s="105">
        <f t="shared" si="6"/>
        <v>733.2993644</v>
      </c>
      <c r="Q153" s="105">
        <f t="shared" si="7"/>
        <v>709.3080711</v>
      </c>
      <c r="R153" s="105">
        <f t="shared" si="8"/>
        <v>23.99129328</v>
      </c>
      <c r="S153" s="105">
        <f t="shared" si="9"/>
        <v>5048.602315</v>
      </c>
      <c r="T153" s="105">
        <f t="shared" si="10"/>
        <v>74236.39769</v>
      </c>
      <c r="U153" s="105">
        <f t="shared" si="11"/>
        <v>26225.61524</v>
      </c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</row>
    <row r="154" ht="14.25" customHeight="1">
      <c r="A154" s="2"/>
      <c r="B154" s="2"/>
      <c r="C154" s="2"/>
      <c r="D154" s="2"/>
      <c r="E154" s="2"/>
      <c r="F154" s="2"/>
      <c r="G154" s="2"/>
      <c r="H154" s="125">
        <f t="shared" si="20"/>
        <v>138</v>
      </c>
      <c r="I154" s="97">
        <f t="shared" si="18"/>
        <v>4289.139272</v>
      </c>
      <c r="J154" s="97">
        <f t="shared" si="19"/>
        <v>1760.970951</v>
      </c>
      <c r="K154" s="97">
        <f t="shared" si="4"/>
        <v>2528.168321</v>
      </c>
      <c r="L154" s="97">
        <f t="shared" si="16"/>
        <v>630289.3113</v>
      </c>
      <c r="M154" s="97">
        <f t="shared" si="17"/>
        <v>187210.6887</v>
      </c>
      <c r="N154" s="97">
        <f t="shared" si="5"/>
        <v>404682.3287</v>
      </c>
      <c r="O154" s="104">
        <f t="shared" si="14"/>
        <v>138</v>
      </c>
      <c r="P154" s="105">
        <f t="shared" si="6"/>
        <v>733.2993644</v>
      </c>
      <c r="Q154" s="105">
        <f t="shared" si="7"/>
        <v>712.2635214</v>
      </c>
      <c r="R154" s="105">
        <f t="shared" si="8"/>
        <v>21.03584298</v>
      </c>
      <c r="S154" s="105">
        <f t="shared" si="9"/>
        <v>4336.338794</v>
      </c>
      <c r="T154" s="105">
        <f t="shared" si="10"/>
        <v>74948.66121</v>
      </c>
      <c r="U154" s="105">
        <f t="shared" si="11"/>
        <v>26246.65108</v>
      </c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</row>
    <row r="155" ht="14.25" customHeight="1">
      <c r="A155" s="2"/>
      <c r="B155" s="2"/>
      <c r="C155" s="2"/>
      <c r="D155" s="2"/>
      <c r="E155" s="2"/>
      <c r="F155" s="2"/>
      <c r="G155" s="2"/>
      <c r="H155" s="125">
        <f t="shared" si="20"/>
        <v>139</v>
      </c>
      <c r="I155" s="97">
        <f t="shared" si="18"/>
        <v>4289.139272</v>
      </c>
      <c r="J155" s="97">
        <f t="shared" si="19"/>
        <v>1768.014835</v>
      </c>
      <c r="K155" s="97">
        <f t="shared" si="4"/>
        <v>2521.124437</v>
      </c>
      <c r="L155" s="97">
        <f t="shared" si="16"/>
        <v>628521.2964</v>
      </c>
      <c r="M155" s="97">
        <f t="shared" si="17"/>
        <v>188978.7036</v>
      </c>
      <c r="N155" s="97">
        <f t="shared" si="5"/>
        <v>407203.4531</v>
      </c>
      <c r="O155" s="104">
        <f t="shared" si="14"/>
        <v>139</v>
      </c>
      <c r="P155" s="105">
        <f t="shared" si="6"/>
        <v>733.2993644</v>
      </c>
      <c r="Q155" s="105">
        <f t="shared" si="7"/>
        <v>715.2312861</v>
      </c>
      <c r="R155" s="105">
        <f t="shared" si="8"/>
        <v>18.06807831</v>
      </c>
      <c r="S155" s="105">
        <f t="shared" si="9"/>
        <v>3621.107507</v>
      </c>
      <c r="T155" s="105">
        <f t="shared" si="10"/>
        <v>75663.89249</v>
      </c>
      <c r="U155" s="105">
        <f t="shared" si="11"/>
        <v>26264.71916</v>
      </c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</row>
    <row r="156" ht="14.25" customHeight="1">
      <c r="A156" s="2"/>
      <c r="B156" s="2"/>
      <c r="C156" s="2"/>
      <c r="D156" s="2"/>
      <c r="E156" s="2"/>
      <c r="F156" s="2"/>
      <c r="G156" s="2"/>
      <c r="H156" s="125">
        <f t="shared" si="20"/>
        <v>140</v>
      </c>
      <c r="I156" s="97">
        <f t="shared" si="18"/>
        <v>4289.139272</v>
      </c>
      <c r="J156" s="97">
        <f t="shared" si="19"/>
        <v>1775.086894</v>
      </c>
      <c r="K156" s="97">
        <f t="shared" si="4"/>
        <v>2514.052377</v>
      </c>
      <c r="L156" s="97">
        <f t="shared" si="16"/>
        <v>626746.2096</v>
      </c>
      <c r="M156" s="97">
        <f t="shared" si="17"/>
        <v>190753.7904</v>
      </c>
      <c r="N156" s="234">
        <f t="shared" si="5"/>
        <v>409717.5055</v>
      </c>
      <c r="O156" s="104">
        <f t="shared" si="14"/>
        <v>140</v>
      </c>
      <c r="P156" s="105">
        <f t="shared" si="6"/>
        <v>733.2993644</v>
      </c>
      <c r="Q156" s="105">
        <f t="shared" si="7"/>
        <v>718.2114165</v>
      </c>
      <c r="R156" s="105">
        <f t="shared" si="8"/>
        <v>15.08794795</v>
      </c>
      <c r="S156" s="105">
        <f t="shared" si="9"/>
        <v>2902.896091</v>
      </c>
      <c r="T156" s="105">
        <f t="shared" si="10"/>
        <v>76382.10391</v>
      </c>
      <c r="U156" s="105">
        <f t="shared" si="11"/>
        <v>26279.80711</v>
      </c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</row>
    <row r="157" ht="14.25" customHeight="1">
      <c r="A157" s="2"/>
      <c r="B157" s="2"/>
      <c r="C157" s="2"/>
      <c r="D157" s="2"/>
      <c r="E157" s="2"/>
      <c r="F157" s="2"/>
      <c r="G157" s="2"/>
      <c r="H157" s="125">
        <f t="shared" si="20"/>
        <v>141</v>
      </c>
      <c r="I157" s="97">
        <f t="shared" si="18"/>
        <v>4289.139272</v>
      </c>
      <c r="J157" s="97">
        <f t="shared" si="19"/>
        <v>1782.187242</v>
      </c>
      <c r="K157" s="97">
        <f t="shared" si="4"/>
        <v>2506.95203</v>
      </c>
      <c r="L157" s="97">
        <f t="shared" si="16"/>
        <v>624964.0223</v>
      </c>
      <c r="M157" s="235">
        <f t="shared" si="17"/>
        <v>192535.9777</v>
      </c>
      <c r="N157" s="236">
        <f t="shared" si="5"/>
        <v>412224.4575</v>
      </c>
      <c r="O157" s="237">
        <f t="shared" si="14"/>
        <v>141</v>
      </c>
      <c r="P157" s="105">
        <f t="shared" si="6"/>
        <v>733.2993644</v>
      </c>
      <c r="Q157" s="105">
        <f t="shared" si="7"/>
        <v>721.203964</v>
      </c>
      <c r="R157" s="238">
        <f t="shared" si="8"/>
        <v>12.09540038</v>
      </c>
      <c r="S157" s="238">
        <f t="shared" si="9"/>
        <v>2181.692127</v>
      </c>
      <c r="T157" s="238">
        <f t="shared" si="10"/>
        <v>77103.30787</v>
      </c>
      <c r="U157" s="238">
        <f t="shared" si="11"/>
        <v>26291.90251</v>
      </c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</row>
    <row r="158" ht="14.25" customHeight="1">
      <c r="A158" s="2"/>
      <c r="B158" s="2"/>
      <c r="C158" s="2"/>
      <c r="D158" s="2"/>
      <c r="E158" s="2"/>
      <c r="F158" s="2"/>
      <c r="G158" s="2"/>
      <c r="H158" s="125">
        <f t="shared" si="20"/>
        <v>142</v>
      </c>
      <c r="I158" s="97">
        <f t="shared" si="18"/>
        <v>4289.139272</v>
      </c>
      <c r="J158" s="97">
        <f t="shared" si="19"/>
        <v>1789.315991</v>
      </c>
      <c r="K158" s="97">
        <f t="shared" si="4"/>
        <v>2499.823281</v>
      </c>
      <c r="L158" s="97">
        <f t="shared" si="16"/>
        <v>623174.7063</v>
      </c>
      <c r="M158" s="235">
        <f t="shared" si="17"/>
        <v>194325.2937</v>
      </c>
      <c r="N158" s="236">
        <f t="shared" si="5"/>
        <v>414724.2808</v>
      </c>
      <c r="O158" s="237">
        <f t="shared" si="14"/>
        <v>142</v>
      </c>
      <c r="P158" s="105">
        <f t="shared" si="6"/>
        <v>733.2993644</v>
      </c>
      <c r="Q158" s="106">
        <f t="shared" si="7"/>
        <v>724.2089805</v>
      </c>
      <c r="R158" s="118">
        <f t="shared" si="8"/>
        <v>9.090383862</v>
      </c>
      <c r="S158" s="118">
        <f t="shared" si="9"/>
        <v>1457.483146</v>
      </c>
      <c r="T158" s="118">
        <f t="shared" si="10"/>
        <v>77827.51685</v>
      </c>
      <c r="U158" s="118">
        <f t="shared" si="11"/>
        <v>26300.99289</v>
      </c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</row>
    <row r="159" ht="14.25" customHeight="1">
      <c r="A159" s="2"/>
      <c r="B159" s="2"/>
      <c r="C159" s="2"/>
      <c r="D159" s="2"/>
      <c r="E159" s="2"/>
      <c r="F159" s="2"/>
      <c r="G159" s="2"/>
      <c r="H159" s="125">
        <f t="shared" si="20"/>
        <v>143</v>
      </c>
      <c r="I159" s="97">
        <f t="shared" si="18"/>
        <v>4289.139272</v>
      </c>
      <c r="J159" s="97">
        <f t="shared" si="19"/>
        <v>1796.473255</v>
      </c>
      <c r="K159" s="97">
        <f t="shared" si="4"/>
        <v>2492.666017</v>
      </c>
      <c r="L159" s="235">
        <f t="shared" si="16"/>
        <v>621378.2331</v>
      </c>
      <c r="M159" s="235">
        <f t="shared" si="17"/>
        <v>196121.7669</v>
      </c>
      <c r="N159" s="236">
        <f t="shared" si="5"/>
        <v>417216.9468</v>
      </c>
      <c r="O159" s="237">
        <f t="shared" si="14"/>
        <v>143</v>
      </c>
      <c r="P159" s="105">
        <f t="shared" si="6"/>
        <v>733.2993644</v>
      </c>
      <c r="Q159" s="106">
        <f t="shared" si="7"/>
        <v>727.226518</v>
      </c>
      <c r="R159" s="118">
        <f t="shared" si="8"/>
        <v>6.072846443</v>
      </c>
      <c r="S159" s="118">
        <f t="shared" si="9"/>
        <v>730.2566284</v>
      </c>
      <c r="T159" s="118">
        <f t="shared" si="10"/>
        <v>78554.74337</v>
      </c>
      <c r="U159" s="118">
        <f t="shared" si="11"/>
        <v>26307.06574</v>
      </c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</row>
    <row r="160" ht="14.25" customHeight="1">
      <c r="A160" s="2"/>
      <c r="B160" s="2"/>
      <c r="C160" s="2"/>
      <c r="D160" s="2"/>
      <c r="E160" s="2"/>
      <c r="F160" s="2"/>
      <c r="G160" s="2"/>
      <c r="H160" s="125">
        <f t="shared" si="20"/>
        <v>144</v>
      </c>
      <c r="I160" s="97">
        <f t="shared" si="18"/>
        <v>4289.139272</v>
      </c>
      <c r="J160" s="97">
        <f t="shared" si="19"/>
        <v>1803.659148</v>
      </c>
      <c r="K160" s="97">
        <f t="shared" si="4"/>
        <v>2485.480124</v>
      </c>
      <c r="L160" s="235">
        <f t="shared" si="16"/>
        <v>619574.5739</v>
      </c>
      <c r="M160" s="235">
        <f t="shared" si="17"/>
        <v>197925.4261</v>
      </c>
      <c r="N160" s="236">
        <f t="shared" si="5"/>
        <v>419702.427</v>
      </c>
      <c r="O160" s="237">
        <f t="shared" si="14"/>
        <v>144</v>
      </c>
      <c r="P160" s="105">
        <f t="shared" si="6"/>
        <v>733.2993644</v>
      </c>
      <c r="Q160" s="106">
        <f t="shared" si="7"/>
        <v>730.2566284</v>
      </c>
      <c r="R160" s="118">
        <f t="shared" si="8"/>
        <v>3.042735952</v>
      </c>
      <c r="S160" s="118">
        <f t="shared" si="9"/>
        <v>-0.0000000002619344741</v>
      </c>
      <c r="T160" s="118">
        <f t="shared" si="10"/>
        <v>79285</v>
      </c>
      <c r="U160" s="118">
        <f t="shared" si="11"/>
        <v>26310.10847</v>
      </c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</row>
    <row r="161" ht="14.25" customHeight="1">
      <c r="A161" s="2"/>
      <c r="B161" s="2"/>
      <c r="C161" s="2"/>
      <c r="D161" s="2"/>
      <c r="E161" s="2"/>
      <c r="F161" s="2"/>
      <c r="G161" s="2"/>
      <c r="H161" s="125">
        <f t="shared" si="20"/>
        <v>145</v>
      </c>
      <c r="I161" s="97">
        <f t="shared" si="18"/>
        <v>4289.139272</v>
      </c>
      <c r="J161" s="97">
        <f t="shared" si="19"/>
        <v>1810.873784</v>
      </c>
      <c r="K161" s="97">
        <f t="shared" si="4"/>
        <v>2478.265487</v>
      </c>
      <c r="L161" s="235">
        <f t="shared" si="16"/>
        <v>617763.7001</v>
      </c>
      <c r="M161" s="235">
        <f t="shared" si="17"/>
        <v>199736.2999</v>
      </c>
      <c r="N161" s="236">
        <f t="shared" si="5"/>
        <v>422180.6924</v>
      </c>
      <c r="O161" s="237" t="str">
        <f t="shared" si="14"/>
        <v/>
      </c>
      <c r="P161" s="105" t="str">
        <f t="shared" si="6"/>
        <v/>
      </c>
      <c r="Q161" s="106" t="str">
        <f t="shared" si="7"/>
        <v/>
      </c>
      <c r="R161" s="118" t="str">
        <f t="shared" si="8"/>
        <v/>
      </c>
      <c r="S161" s="118" t="str">
        <f t="shared" si="9"/>
        <v/>
      </c>
      <c r="T161" s="118" t="str">
        <f t="shared" si="10"/>
        <v/>
      </c>
      <c r="U161" s="118" t="str">
        <f t="shared" si="11"/>
        <v/>
      </c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</row>
    <row r="162" ht="14.25" customHeight="1">
      <c r="A162" s="2"/>
      <c r="B162" s="2"/>
      <c r="C162" s="2"/>
      <c r="D162" s="2"/>
      <c r="E162" s="2"/>
      <c r="F162" s="2"/>
      <c r="G162" s="2"/>
      <c r="H162" s="125">
        <f t="shared" si="20"/>
        <v>146</v>
      </c>
      <c r="I162" s="97">
        <f t="shared" si="18"/>
        <v>4289.139272</v>
      </c>
      <c r="J162" s="97">
        <f t="shared" si="19"/>
        <v>1818.11728</v>
      </c>
      <c r="K162" s="97">
        <f t="shared" si="4"/>
        <v>2471.021992</v>
      </c>
      <c r="L162" s="235">
        <f t="shared" si="16"/>
        <v>615945.5829</v>
      </c>
      <c r="M162" s="235">
        <f t="shared" si="17"/>
        <v>201554.4171</v>
      </c>
      <c r="N162" s="236">
        <f t="shared" si="5"/>
        <v>424651.7144</v>
      </c>
      <c r="O162" s="237" t="str">
        <f t="shared" si="14"/>
        <v/>
      </c>
      <c r="P162" s="105" t="str">
        <f t="shared" si="6"/>
        <v/>
      </c>
      <c r="Q162" s="106" t="str">
        <f t="shared" si="7"/>
        <v/>
      </c>
      <c r="R162" s="118" t="str">
        <f t="shared" si="8"/>
        <v/>
      </c>
      <c r="S162" s="118" t="str">
        <f t="shared" si="9"/>
        <v/>
      </c>
      <c r="T162" s="118" t="str">
        <f t="shared" si="10"/>
        <v/>
      </c>
      <c r="U162" s="118" t="str">
        <f t="shared" si="11"/>
        <v/>
      </c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</row>
    <row r="163" ht="14.25" customHeight="1">
      <c r="A163" s="2"/>
      <c r="B163" s="2"/>
      <c r="C163" s="2"/>
      <c r="D163" s="2"/>
      <c r="E163" s="2"/>
      <c r="F163" s="2"/>
      <c r="G163" s="2"/>
      <c r="H163" s="125">
        <f t="shared" si="20"/>
        <v>147</v>
      </c>
      <c r="I163" s="97">
        <f t="shared" si="18"/>
        <v>4289.139272</v>
      </c>
      <c r="J163" s="97">
        <f t="shared" si="19"/>
        <v>1825.389749</v>
      </c>
      <c r="K163" s="97">
        <f t="shared" si="4"/>
        <v>2463.749523</v>
      </c>
      <c r="L163" s="235">
        <f t="shared" si="16"/>
        <v>614120.1931</v>
      </c>
      <c r="M163" s="235">
        <f t="shared" si="17"/>
        <v>203379.8069</v>
      </c>
      <c r="N163" s="236">
        <f t="shared" si="5"/>
        <v>427115.464</v>
      </c>
      <c r="O163" s="237" t="str">
        <f t="shared" si="14"/>
        <v/>
      </c>
      <c r="P163" s="105" t="str">
        <f t="shared" si="6"/>
        <v/>
      </c>
      <c r="Q163" s="106" t="str">
        <f t="shared" si="7"/>
        <v/>
      </c>
      <c r="R163" s="118" t="str">
        <f t="shared" si="8"/>
        <v/>
      </c>
      <c r="S163" s="118" t="str">
        <f t="shared" si="9"/>
        <v/>
      </c>
      <c r="T163" s="118" t="str">
        <f t="shared" si="10"/>
        <v/>
      </c>
      <c r="U163" s="118" t="str">
        <f t="shared" si="11"/>
        <v/>
      </c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</row>
    <row r="164" ht="14.25" customHeight="1">
      <c r="A164" s="2"/>
      <c r="B164" s="2"/>
      <c r="C164" s="2"/>
      <c r="D164" s="2"/>
      <c r="E164" s="2"/>
      <c r="F164" s="2"/>
      <c r="G164" s="2"/>
      <c r="H164" s="125">
        <f t="shared" si="20"/>
        <v>148</v>
      </c>
      <c r="I164" s="97">
        <f t="shared" si="18"/>
        <v>4289.139272</v>
      </c>
      <c r="J164" s="97">
        <f t="shared" si="19"/>
        <v>1832.691308</v>
      </c>
      <c r="K164" s="97">
        <f t="shared" si="4"/>
        <v>2456.447964</v>
      </c>
      <c r="L164" s="235">
        <f t="shared" si="16"/>
        <v>612287.5018</v>
      </c>
      <c r="M164" s="235">
        <f t="shared" si="17"/>
        <v>205212.4982</v>
      </c>
      <c r="N164" s="236">
        <f t="shared" si="5"/>
        <v>429571.9119</v>
      </c>
      <c r="O164" s="237" t="str">
        <f t="shared" si="14"/>
        <v/>
      </c>
      <c r="P164" s="105" t="str">
        <f t="shared" si="6"/>
        <v/>
      </c>
      <c r="Q164" s="106" t="str">
        <f t="shared" si="7"/>
        <v/>
      </c>
      <c r="R164" s="118" t="str">
        <f t="shared" si="8"/>
        <v/>
      </c>
      <c r="S164" s="118" t="str">
        <f t="shared" si="9"/>
        <v/>
      </c>
      <c r="T164" s="118" t="str">
        <f t="shared" si="10"/>
        <v/>
      </c>
      <c r="U164" s="118" t="str">
        <f t="shared" si="11"/>
        <v/>
      </c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</row>
    <row r="165" ht="14.25" customHeight="1">
      <c r="A165" s="2"/>
      <c r="B165" s="2"/>
      <c r="C165" s="2"/>
      <c r="D165" s="2"/>
      <c r="E165" s="2"/>
      <c r="F165" s="2"/>
      <c r="G165" s="2"/>
      <c r="H165" s="125">
        <f t="shared" si="20"/>
        <v>149</v>
      </c>
      <c r="I165" s="97">
        <f t="shared" si="18"/>
        <v>4289.139272</v>
      </c>
      <c r="J165" s="97">
        <f t="shared" si="19"/>
        <v>1840.022073</v>
      </c>
      <c r="K165" s="97">
        <f t="shared" si="4"/>
        <v>2449.117199</v>
      </c>
      <c r="L165" s="235">
        <f t="shared" si="16"/>
        <v>610447.4797</v>
      </c>
      <c r="M165" s="235">
        <f t="shared" si="17"/>
        <v>207052.5203</v>
      </c>
      <c r="N165" s="236">
        <f t="shared" si="5"/>
        <v>432021.0291</v>
      </c>
      <c r="O165" s="237" t="str">
        <f t="shared" si="14"/>
        <v/>
      </c>
      <c r="P165" s="105" t="str">
        <f t="shared" si="6"/>
        <v/>
      </c>
      <c r="Q165" s="106" t="str">
        <f t="shared" si="7"/>
        <v/>
      </c>
      <c r="R165" s="118" t="str">
        <f t="shared" si="8"/>
        <v/>
      </c>
      <c r="S165" s="118" t="str">
        <f t="shared" si="9"/>
        <v/>
      </c>
      <c r="T165" s="118" t="str">
        <f t="shared" si="10"/>
        <v/>
      </c>
      <c r="U165" s="118" t="str">
        <f t="shared" si="11"/>
        <v/>
      </c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</row>
    <row r="166" ht="14.25" customHeight="1">
      <c r="A166" s="2"/>
      <c r="B166" s="2"/>
      <c r="C166" s="2"/>
      <c r="D166" s="2"/>
      <c r="E166" s="2"/>
      <c r="F166" s="2"/>
      <c r="G166" s="2"/>
      <c r="H166" s="125">
        <f t="shared" si="20"/>
        <v>150</v>
      </c>
      <c r="I166" s="97">
        <f t="shared" si="18"/>
        <v>4289.139272</v>
      </c>
      <c r="J166" s="97">
        <f t="shared" si="19"/>
        <v>1847.382161</v>
      </c>
      <c r="K166" s="97">
        <f t="shared" si="4"/>
        <v>2441.757111</v>
      </c>
      <c r="L166" s="235">
        <f t="shared" si="16"/>
        <v>608600.0976</v>
      </c>
      <c r="M166" s="235">
        <f t="shared" si="17"/>
        <v>208899.9024</v>
      </c>
      <c r="N166" s="236">
        <f t="shared" si="5"/>
        <v>434462.7862</v>
      </c>
      <c r="O166" s="237" t="str">
        <f t="shared" si="14"/>
        <v/>
      </c>
      <c r="P166" s="105" t="str">
        <f t="shared" si="6"/>
        <v/>
      </c>
      <c r="Q166" s="106" t="str">
        <f t="shared" si="7"/>
        <v/>
      </c>
      <c r="R166" s="118" t="str">
        <f t="shared" si="8"/>
        <v/>
      </c>
      <c r="S166" s="118" t="str">
        <f t="shared" si="9"/>
        <v/>
      </c>
      <c r="T166" s="118" t="str">
        <f t="shared" si="10"/>
        <v/>
      </c>
      <c r="U166" s="118" t="str">
        <f t="shared" si="11"/>
        <v/>
      </c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</row>
    <row r="167" ht="14.25" customHeight="1">
      <c r="A167" s="2"/>
      <c r="B167" s="2"/>
      <c r="C167" s="2"/>
      <c r="D167" s="2"/>
      <c r="E167" s="2"/>
      <c r="F167" s="2"/>
      <c r="G167" s="2"/>
      <c r="H167" s="125">
        <f t="shared" si="20"/>
        <v>151</v>
      </c>
      <c r="I167" s="97">
        <f t="shared" si="18"/>
        <v>4289.139272</v>
      </c>
      <c r="J167" s="97">
        <f t="shared" si="19"/>
        <v>1854.77169</v>
      </c>
      <c r="K167" s="97">
        <f t="shared" si="4"/>
        <v>2434.367582</v>
      </c>
      <c r="L167" s="235">
        <f t="shared" si="16"/>
        <v>606745.3259</v>
      </c>
      <c r="M167" s="235">
        <f t="shared" si="17"/>
        <v>210754.6741</v>
      </c>
      <c r="N167" s="236">
        <f t="shared" si="5"/>
        <v>436897.1538</v>
      </c>
      <c r="O167" s="237" t="str">
        <f t="shared" si="14"/>
        <v/>
      </c>
      <c r="P167" s="105" t="str">
        <f t="shared" si="6"/>
        <v/>
      </c>
      <c r="Q167" s="106" t="str">
        <f t="shared" si="7"/>
        <v/>
      </c>
      <c r="R167" s="118" t="str">
        <f t="shared" si="8"/>
        <v/>
      </c>
      <c r="S167" s="118" t="str">
        <f t="shared" si="9"/>
        <v/>
      </c>
      <c r="T167" s="118" t="str">
        <f t="shared" si="10"/>
        <v/>
      </c>
      <c r="U167" s="118" t="str">
        <f t="shared" si="11"/>
        <v/>
      </c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</row>
    <row r="168" ht="14.25" customHeight="1">
      <c r="A168" s="2"/>
      <c r="B168" s="2"/>
      <c r="C168" s="2"/>
      <c r="D168" s="2"/>
      <c r="E168" s="2"/>
      <c r="F168" s="2"/>
      <c r="G168" s="2"/>
      <c r="H168" s="125">
        <f t="shared" si="20"/>
        <v>152</v>
      </c>
      <c r="I168" s="97">
        <f t="shared" si="18"/>
        <v>4289.139272</v>
      </c>
      <c r="J168" s="97">
        <f t="shared" si="19"/>
        <v>1862.190777</v>
      </c>
      <c r="K168" s="97">
        <f t="shared" si="4"/>
        <v>2426.948495</v>
      </c>
      <c r="L168" s="235">
        <f t="shared" si="16"/>
        <v>604883.1351</v>
      </c>
      <c r="M168" s="235">
        <f t="shared" si="17"/>
        <v>212616.8649</v>
      </c>
      <c r="N168" s="236">
        <f t="shared" si="5"/>
        <v>439324.1023</v>
      </c>
      <c r="O168" s="237" t="str">
        <f t="shared" si="14"/>
        <v/>
      </c>
      <c r="P168" s="105" t="str">
        <f t="shared" si="6"/>
        <v/>
      </c>
      <c r="Q168" s="106" t="str">
        <f t="shared" si="7"/>
        <v/>
      </c>
      <c r="R168" s="118" t="str">
        <f t="shared" si="8"/>
        <v/>
      </c>
      <c r="S168" s="118" t="str">
        <f t="shared" si="9"/>
        <v/>
      </c>
      <c r="T168" s="118" t="str">
        <f t="shared" si="10"/>
        <v/>
      </c>
      <c r="U168" s="118" t="str">
        <f t="shared" si="11"/>
        <v/>
      </c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</row>
    <row r="169" ht="14.25" customHeight="1">
      <c r="A169" s="2"/>
      <c r="B169" s="2"/>
      <c r="C169" s="2"/>
      <c r="D169" s="2"/>
      <c r="E169" s="2"/>
      <c r="F169" s="2"/>
      <c r="G169" s="2"/>
      <c r="H169" s="125">
        <f t="shared" si="20"/>
        <v>153</v>
      </c>
      <c r="I169" s="97">
        <f t="shared" si="18"/>
        <v>4289.139272</v>
      </c>
      <c r="J169" s="97">
        <f t="shared" si="19"/>
        <v>1869.63954</v>
      </c>
      <c r="K169" s="97">
        <f t="shared" si="4"/>
        <v>2419.499732</v>
      </c>
      <c r="L169" s="235">
        <f t="shared" si="16"/>
        <v>603013.4956</v>
      </c>
      <c r="M169" s="235">
        <f t="shared" si="17"/>
        <v>214486.5044</v>
      </c>
      <c r="N169" s="236">
        <f t="shared" si="5"/>
        <v>441743.602</v>
      </c>
      <c r="O169" s="237" t="str">
        <f t="shared" si="14"/>
        <v/>
      </c>
      <c r="P169" s="105" t="str">
        <f t="shared" si="6"/>
        <v/>
      </c>
      <c r="Q169" s="106" t="str">
        <f t="shared" si="7"/>
        <v/>
      </c>
      <c r="R169" s="118" t="str">
        <f t="shared" si="8"/>
        <v/>
      </c>
      <c r="S169" s="118" t="str">
        <f t="shared" si="9"/>
        <v/>
      </c>
      <c r="T169" s="118" t="str">
        <f t="shared" si="10"/>
        <v/>
      </c>
      <c r="U169" s="118" t="str">
        <f t="shared" si="11"/>
        <v/>
      </c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</row>
    <row r="170" ht="14.25" customHeight="1">
      <c r="A170" s="2"/>
      <c r="B170" s="2"/>
      <c r="C170" s="2"/>
      <c r="D170" s="2"/>
      <c r="E170" s="2"/>
      <c r="F170" s="2"/>
      <c r="G170" s="2"/>
      <c r="H170" s="125">
        <f t="shared" si="20"/>
        <v>154</v>
      </c>
      <c r="I170" s="97">
        <f t="shared" si="18"/>
        <v>4289.139272</v>
      </c>
      <c r="J170" s="97">
        <f t="shared" si="19"/>
        <v>1877.118098</v>
      </c>
      <c r="K170" s="97">
        <f t="shared" si="4"/>
        <v>2412.021174</v>
      </c>
      <c r="L170" s="235">
        <f t="shared" si="16"/>
        <v>601136.3775</v>
      </c>
      <c r="M170" s="235">
        <f t="shared" si="17"/>
        <v>216363.6225</v>
      </c>
      <c r="N170" s="236">
        <f t="shared" si="5"/>
        <v>444155.6232</v>
      </c>
      <c r="O170" s="237" t="str">
        <f t="shared" si="14"/>
        <v/>
      </c>
      <c r="P170" s="105" t="str">
        <f t="shared" si="6"/>
        <v/>
      </c>
      <c r="Q170" s="106" t="str">
        <f t="shared" si="7"/>
        <v/>
      </c>
      <c r="R170" s="118" t="str">
        <f t="shared" si="8"/>
        <v/>
      </c>
      <c r="S170" s="118" t="str">
        <f t="shared" si="9"/>
        <v/>
      </c>
      <c r="T170" s="118" t="str">
        <f t="shared" si="10"/>
        <v/>
      </c>
      <c r="U170" s="118" t="str">
        <f t="shared" si="11"/>
        <v/>
      </c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</row>
    <row r="171" ht="14.25" customHeight="1">
      <c r="A171" s="2"/>
      <c r="B171" s="2"/>
      <c r="C171" s="2"/>
      <c r="D171" s="2"/>
      <c r="E171" s="2"/>
      <c r="F171" s="2"/>
      <c r="G171" s="2"/>
      <c r="H171" s="125">
        <f t="shared" si="20"/>
        <v>155</v>
      </c>
      <c r="I171" s="97">
        <f t="shared" si="18"/>
        <v>4289.139272</v>
      </c>
      <c r="J171" s="97">
        <f t="shared" si="19"/>
        <v>1884.62657</v>
      </c>
      <c r="K171" s="97">
        <f t="shared" si="4"/>
        <v>2404.512701</v>
      </c>
      <c r="L171" s="235">
        <f t="shared" si="16"/>
        <v>599251.7509</v>
      </c>
      <c r="M171" s="235">
        <f t="shared" si="17"/>
        <v>218248.2491</v>
      </c>
      <c r="N171" s="236">
        <f t="shared" si="5"/>
        <v>446560.1359</v>
      </c>
      <c r="O171" s="237" t="str">
        <f t="shared" si="14"/>
        <v/>
      </c>
      <c r="P171" s="105" t="str">
        <f t="shared" si="6"/>
        <v/>
      </c>
      <c r="Q171" s="106" t="str">
        <f t="shared" si="7"/>
        <v/>
      </c>
      <c r="R171" s="118" t="str">
        <f t="shared" si="8"/>
        <v/>
      </c>
      <c r="S171" s="118" t="str">
        <f t="shared" si="9"/>
        <v/>
      </c>
      <c r="T171" s="118" t="str">
        <f t="shared" si="10"/>
        <v/>
      </c>
      <c r="U171" s="118" t="str">
        <f t="shared" si="11"/>
        <v/>
      </c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</row>
    <row r="172" ht="14.25" customHeight="1">
      <c r="A172" s="2"/>
      <c r="B172" s="2"/>
      <c r="C172" s="2"/>
      <c r="D172" s="2"/>
      <c r="E172" s="2"/>
      <c r="F172" s="2"/>
      <c r="G172" s="2"/>
      <c r="H172" s="125">
        <f t="shared" si="20"/>
        <v>156</v>
      </c>
      <c r="I172" s="97">
        <f t="shared" si="18"/>
        <v>4289.139272</v>
      </c>
      <c r="J172" s="97">
        <f t="shared" si="19"/>
        <v>1892.165077</v>
      </c>
      <c r="K172" s="97">
        <f t="shared" si="4"/>
        <v>2396.974195</v>
      </c>
      <c r="L172" s="235">
        <f t="shared" si="16"/>
        <v>597359.5858</v>
      </c>
      <c r="M172" s="235">
        <f t="shared" si="17"/>
        <v>220140.4142</v>
      </c>
      <c r="N172" s="236">
        <f t="shared" si="5"/>
        <v>448957.1101</v>
      </c>
      <c r="O172" s="237" t="str">
        <f t="shared" si="14"/>
        <v/>
      </c>
      <c r="P172" s="105" t="str">
        <f t="shared" si="6"/>
        <v/>
      </c>
      <c r="Q172" s="106" t="str">
        <f t="shared" si="7"/>
        <v/>
      </c>
      <c r="R172" s="118" t="str">
        <f t="shared" si="8"/>
        <v/>
      </c>
      <c r="S172" s="118" t="str">
        <f t="shared" si="9"/>
        <v/>
      </c>
      <c r="T172" s="118" t="str">
        <f t="shared" si="10"/>
        <v/>
      </c>
      <c r="U172" s="118" t="str">
        <f t="shared" si="11"/>
        <v/>
      </c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</row>
    <row r="173" ht="14.25" customHeight="1">
      <c r="A173" s="2"/>
      <c r="B173" s="2"/>
      <c r="C173" s="2"/>
      <c r="D173" s="2"/>
      <c r="E173" s="2"/>
      <c r="F173" s="2"/>
      <c r="G173" s="2"/>
      <c r="H173" s="125">
        <f t="shared" si="20"/>
        <v>157</v>
      </c>
      <c r="I173" s="97">
        <f t="shared" si="18"/>
        <v>4289.139272</v>
      </c>
      <c r="J173" s="97">
        <f t="shared" si="19"/>
        <v>1899.733737</v>
      </c>
      <c r="K173" s="97">
        <f t="shared" si="4"/>
        <v>2389.405535</v>
      </c>
      <c r="L173" s="235">
        <f t="shared" si="16"/>
        <v>595459.8521</v>
      </c>
      <c r="M173" s="235">
        <f t="shared" si="17"/>
        <v>222040.1479</v>
      </c>
      <c r="N173" s="236">
        <f t="shared" si="5"/>
        <v>451346.5156</v>
      </c>
      <c r="O173" s="237" t="str">
        <f t="shared" si="14"/>
        <v/>
      </c>
      <c r="P173" s="105" t="str">
        <f t="shared" si="6"/>
        <v/>
      </c>
      <c r="Q173" s="106" t="str">
        <f t="shared" si="7"/>
        <v/>
      </c>
      <c r="R173" s="118" t="str">
        <f t="shared" si="8"/>
        <v/>
      </c>
      <c r="S173" s="118" t="str">
        <f t="shared" si="9"/>
        <v/>
      </c>
      <c r="T173" s="118" t="str">
        <f t="shared" si="10"/>
        <v/>
      </c>
      <c r="U173" s="118" t="str">
        <f t="shared" si="11"/>
        <v/>
      </c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</row>
    <row r="174" ht="14.25" customHeight="1">
      <c r="A174" s="2"/>
      <c r="B174" s="2"/>
      <c r="C174" s="2"/>
      <c r="D174" s="2"/>
      <c r="E174" s="2"/>
      <c r="F174" s="2"/>
      <c r="G174" s="2"/>
      <c r="H174" s="125">
        <f t="shared" si="20"/>
        <v>158</v>
      </c>
      <c r="I174" s="97">
        <f t="shared" si="18"/>
        <v>4289.139272</v>
      </c>
      <c r="J174" s="97">
        <f t="shared" si="19"/>
        <v>1907.332672</v>
      </c>
      <c r="K174" s="97">
        <f t="shared" si="4"/>
        <v>2381.8066</v>
      </c>
      <c r="L174" s="235">
        <f t="shared" si="16"/>
        <v>593552.5194</v>
      </c>
      <c r="M174" s="235">
        <f t="shared" si="17"/>
        <v>223947.4806</v>
      </c>
      <c r="N174" s="236">
        <f t="shared" si="5"/>
        <v>453728.3222</v>
      </c>
      <c r="O174" s="237" t="str">
        <f t="shared" si="14"/>
        <v/>
      </c>
      <c r="P174" s="105" t="str">
        <f t="shared" si="6"/>
        <v/>
      </c>
      <c r="Q174" s="106" t="str">
        <f t="shared" si="7"/>
        <v/>
      </c>
      <c r="R174" s="118" t="str">
        <f t="shared" si="8"/>
        <v/>
      </c>
      <c r="S174" s="118" t="str">
        <f t="shared" si="9"/>
        <v/>
      </c>
      <c r="T174" s="118" t="str">
        <f t="shared" si="10"/>
        <v/>
      </c>
      <c r="U174" s="118" t="str">
        <f t="shared" si="11"/>
        <v/>
      </c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</row>
    <row r="175" ht="14.25" customHeight="1">
      <c r="A175" s="2"/>
      <c r="B175" s="2"/>
      <c r="C175" s="2"/>
      <c r="D175" s="2"/>
      <c r="E175" s="2"/>
      <c r="F175" s="2"/>
      <c r="G175" s="2"/>
      <c r="H175" s="125">
        <f t="shared" si="20"/>
        <v>159</v>
      </c>
      <c r="I175" s="97">
        <f t="shared" si="18"/>
        <v>4289.139272</v>
      </c>
      <c r="J175" s="97">
        <f t="shared" si="19"/>
        <v>1914.962003</v>
      </c>
      <c r="K175" s="97">
        <f t="shared" si="4"/>
        <v>2374.177269</v>
      </c>
      <c r="L175" s="235">
        <f t="shared" si="16"/>
        <v>591637.5574</v>
      </c>
      <c r="M175" s="235">
        <f t="shared" si="17"/>
        <v>225862.4426</v>
      </c>
      <c r="N175" s="236">
        <f t="shared" si="5"/>
        <v>456102.4995</v>
      </c>
      <c r="O175" s="237" t="str">
        <f t="shared" si="14"/>
        <v/>
      </c>
      <c r="P175" s="105" t="str">
        <f t="shared" si="6"/>
        <v/>
      </c>
      <c r="Q175" s="106" t="str">
        <f t="shared" si="7"/>
        <v/>
      </c>
      <c r="R175" s="118" t="str">
        <f t="shared" si="8"/>
        <v/>
      </c>
      <c r="S175" s="118" t="str">
        <f t="shared" si="9"/>
        <v/>
      </c>
      <c r="T175" s="118" t="str">
        <f t="shared" si="10"/>
        <v/>
      </c>
      <c r="U175" s="118" t="str">
        <f t="shared" si="11"/>
        <v/>
      </c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</row>
    <row r="176" ht="14.25" customHeight="1">
      <c r="A176" s="2"/>
      <c r="B176" s="2"/>
      <c r="C176" s="2"/>
      <c r="D176" s="2"/>
      <c r="E176" s="2"/>
      <c r="F176" s="2"/>
      <c r="G176" s="2"/>
      <c r="H176" s="125">
        <f t="shared" si="20"/>
        <v>160</v>
      </c>
      <c r="I176" s="97">
        <f t="shared" si="18"/>
        <v>4289.139272</v>
      </c>
      <c r="J176" s="97">
        <f t="shared" si="19"/>
        <v>1922.621851</v>
      </c>
      <c r="K176" s="97">
        <f t="shared" si="4"/>
        <v>2366.517421</v>
      </c>
      <c r="L176" s="235">
        <f t="shared" si="16"/>
        <v>589714.9356</v>
      </c>
      <c r="M176" s="235">
        <f t="shared" si="17"/>
        <v>227785.0644</v>
      </c>
      <c r="N176" s="236">
        <f t="shared" si="5"/>
        <v>458469.0169</v>
      </c>
      <c r="O176" s="237" t="str">
        <f t="shared" si="14"/>
        <v/>
      </c>
      <c r="P176" s="105" t="str">
        <f t="shared" si="6"/>
        <v/>
      </c>
      <c r="Q176" s="106" t="str">
        <f t="shared" si="7"/>
        <v/>
      </c>
      <c r="R176" s="118" t="str">
        <f t="shared" si="8"/>
        <v/>
      </c>
      <c r="S176" s="118" t="str">
        <f t="shared" si="9"/>
        <v/>
      </c>
      <c r="T176" s="118" t="str">
        <f t="shared" si="10"/>
        <v/>
      </c>
      <c r="U176" s="118" t="str">
        <f t="shared" si="11"/>
        <v/>
      </c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</row>
    <row r="177" ht="14.25" customHeight="1">
      <c r="A177" s="2"/>
      <c r="B177" s="2"/>
      <c r="C177" s="2"/>
      <c r="D177" s="2"/>
      <c r="E177" s="2"/>
      <c r="F177" s="2"/>
      <c r="G177" s="2"/>
      <c r="H177" s="125">
        <f t="shared" si="20"/>
        <v>161</v>
      </c>
      <c r="I177" s="97">
        <f t="shared" si="18"/>
        <v>4289.139272</v>
      </c>
      <c r="J177" s="97">
        <f t="shared" si="19"/>
        <v>1930.312338</v>
      </c>
      <c r="K177" s="97">
        <f t="shared" si="4"/>
        <v>2358.826934</v>
      </c>
      <c r="L177" s="97">
        <f t="shared" si="16"/>
        <v>587784.6232</v>
      </c>
      <c r="M177" s="235">
        <f t="shared" si="17"/>
        <v>229715.3768</v>
      </c>
      <c r="N177" s="236">
        <f t="shared" si="5"/>
        <v>460827.8439</v>
      </c>
      <c r="O177" s="237" t="str">
        <f t="shared" si="14"/>
        <v/>
      </c>
      <c r="P177" s="105" t="str">
        <f t="shared" si="6"/>
        <v/>
      </c>
      <c r="Q177" s="106" t="str">
        <f t="shared" si="7"/>
        <v/>
      </c>
      <c r="R177" s="118" t="str">
        <f t="shared" si="8"/>
        <v/>
      </c>
      <c r="S177" s="118" t="str">
        <f t="shared" si="9"/>
        <v/>
      </c>
      <c r="T177" s="118" t="str">
        <f t="shared" si="10"/>
        <v/>
      </c>
      <c r="U177" s="118" t="str">
        <f t="shared" si="11"/>
        <v/>
      </c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</row>
    <row r="178" ht="14.25" customHeight="1">
      <c r="A178" s="2"/>
      <c r="B178" s="2"/>
      <c r="C178" s="2"/>
      <c r="D178" s="2"/>
      <c r="E178" s="2"/>
      <c r="F178" s="2"/>
      <c r="G178" s="2"/>
      <c r="H178" s="125">
        <f t="shared" si="20"/>
        <v>162</v>
      </c>
      <c r="I178" s="97">
        <f t="shared" si="18"/>
        <v>4289.139272</v>
      </c>
      <c r="J178" s="97">
        <f t="shared" si="19"/>
        <v>1938.033587</v>
      </c>
      <c r="K178" s="97">
        <f t="shared" si="4"/>
        <v>2351.105684</v>
      </c>
      <c r="L178" s="97">
        <f t="shared" si="16"/>
        <v>585846.5896</v>
      </c>
      <c r="M178" s="97">
        <f t="shared" si="17"/>
        <v>231653.4104</v>
      </c>
      <c r="N178" s="239">
        <f t="shared" si="5"/>
        <v>463178.9496</v>
      </c>
      <c r="O178" s="104" t="str">
        <f t="shared" si="14"/>
        <v/>
      </c>
      <c r="P178" s="105" t="str">
        <f t="shared" si="6"/>
        <v/>
      </c>
      <c r="Q178" s="106" t="str">
        <f t="shared" si="7"/>
        <v/>
      </c>
      <c r="R178" s="118" t="str">
        <f t="shared" si="8"/>
        <v/>
      </c>
      <c r="S178" s="118" t="str">
        <f t="shared" si="9"/>
        <v/>
      </c>
      <c r="T178" s="118" t="str">
        <f t="shared" si="10"/>
        <v/>
      </c>
      <c r="U178" s="118" t="str">
        <f t="shared" si="11"/>
        <v/>
      </c>
      <c r="V178" s="7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</row>
    <row r="179" ht="14.25" customHeight="1">
      <c r="A179" s="2"/>
      <c r="B179" s="2"/>
      <c r="C179" s="2"/>
      <c r="D179" s="2"/>
      <c r="E179" s="2"/>
      <c r="F179" s="2"/>
      <c r="G179" s="2"/>
      <c r="H179" s="125">
        <f t="shared" si="20"/>
        <v>163</v>
      </c>
      <c r="I179" s="97">
        <f t="shared" si="18"/>
        <v>4289.139272</v>
      </c>
      <c r="J179" s="97">
        <f t="shared" si="19"/>
        <v>1945.785722</v>
      </c>
      <c r="K179" s="97">
        <f t="shared" si="4"/>
        <v>2343.35355</v>
      </c>
      <c r="L179" s="97">
        <f t="shared" si="16"/>
        <v>583900.8039</v>
      </c>
      <c r="M179" s="97">
        <f t="shared" si="17"/>
        <v>233599.1961</v>
      </c>
      <c r="N179" s="97">
        <f t="shared" si="5"/>
        <v>465522.3031</v>
      </c>
      <c r="O179" s="104" t="str">
        <f t="shared" si="14"/>
        <v/>
      </c>
      <c r="P179" s="105" t="str">
        <f t="shared" si="6"/>
        <v/>
      </c>
      <c r="Q179" s="106" t="str">
        <f t="shared" si="7"/>
        <v/>
      </c>
      <c r="R179" s="118" t="str">
        <f t="shared" si="8"/>
        <v/>
      </c>
      <c r="S179" s="118" t="str">
        <f t="shared" si="9"/>
        <v/>
      </c>
      <c r="T179" s="118" t="str">
        <f t="shared" si="10"/>
        <v/>
      </c>
      <c r="U179" s="118" t="str">
        <f t="shared" si="11"/>
        <v/>
      </c>
      <c r="V179" s="7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</row>
    <row r="180" ht="14.25" customHeight="1">
      <c r="A180" s="2"/>
      <c r="B180" s="2"/>
      <c r="C180" s="2"/>
      <c r="D180" s="2"/>
      <c r="E180" s="2"/>
      <c r="F180" s="2"/>
      <c r="G180" s="2"/>
      <c r="H180" s="125">
        <f t="shared" si="20"/>
        <v>164</v>
      </c>
      <c r="I180" s="97">
        <f t="shared" si="18"/>
        <v>4289.139272</v>
      </c>
      <c r="J180" s="97">
        <f t="shared" si="19"/>
        <v>1953.568865</v>
      </c>
      <c r="K180" s="97">
        <f t="shared" si="4"/>
        <v>2335.570407</v>
      </c>
      <c r="L180" s="97">
        <f t="shared" si="16"/>
        <v>581947.235</v>
      </c>
      <c r="M180" s="97">
        <f t="shared" si="17"/>
        <v>235552.765</v>
      </c>
      <c r="N180" s="97">
        <f t="shared" si="5"/>
        <v>467857.8735</v>
      </c>
      <c r="O180" s="104" t="str">
        <f t="shared" si="14"/>
        <v/>
      </c>
      <c r="P180" s="105" t="str">
        <f t="shared" si="6"/>
        <v/>
      </c>
      <c r="Q180" s="106" t="str">
        <f t="shared" si="7"/>
        <v/>
      </c>
      <c r="R180" s="118" t="str">
        <f t="shared" si="8"/>
        <v/>
      </c>
      <c r="S180" s="118" t="str">
        <f t="shared" si="9"/>
        <v/>
      </c>
      <c r="T180" s="118" t="str">
        <f t="shared" si="10"/>
        <v/>
      </c>
      <c r="U180" s="118" t="str">
        <f t="shared" si="11"/>
        <v/>
      </c>
      <c r="V180" s="7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</row>
    <row r="181" ht="14.25" customHeight="1">
      <c r="A181" s="2"/>
      <c r="B181" s="2"/>
      <c r="C181" s="2"/>
      <c r="D181" s="2"/>
      <c r="E181" s="2"/>
      <c r="F181" s="2"/>
      <c r="G181" s="2"/>
      <c r="H181" s="125">
        <f t="shared" si="20"/>
        <v>165</v>
      </c>
      <c r="I181" s="97">
        <f t="shared" si="18"/>
        <v>4289.139272</v>
      </c>
      <c r="J181" s="97">
        <f t="shared" si="19"/>
        <v>1961.38314</v>
      </c>
      <c r="K181" s="97">
        <f t="shared" si="4"/>
        <v>2327.756132</v>
      </c>
      <c r="L181" s="97">
        <f t="shared" si="16"/>
        <v>579985.8519</v>
      </c>
      <c r="M181" s="97">
        <f t="shared" si="17"/>
        <v>237514.1481</v>
      </c>
      <c r="N181" s="97">
        <f t="shared" si="5"/>
        <v>470185.6296</v>
      </c>
      <c r="O181" s="104" t="str">
        <f t="shared" si="14"/>
        <v/>
      </c>
      <c r="P181" s="105" t="str">
        <f t="shared" si="6"/>
        <v/>
      </c>
      <c r="Q181" s="106" t="str">
        <f t="shared" si="7"/>
        <v/>
      </c>
      <c r="R181" s="118" t="str">
        <f t="shared" si="8"/>
        <v/>
      </c>
      <c r="S181" s="118" t="str">
        <f t="shared" si="9"/>
        <v/>
      </c>
      <c r="T181" s="118" t="str">
        <f t="shared" si="10"/>
        <v/>
      </c>
      <c r="U181" s="118" t="str">
        <f t="shared" si="11"/>
        <v/>
      </c>
      <c r="V181" s="7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</row>
    <row r="182" ht="14.25" customHeight="1">
      <c r="A182" s="2"/>
      <c r="B182" s="2"/>
      <c r="C182" s="2"/>
      <c r="D182" s="2"/>
      <c r="E182" s="2"/>
      <c r="F182" s="2"/>
      <c r="G182" s="2"/>
      <c r="H182" s="125">
        <f t="shared" si="20"/>
        <v>166</v>
      </c>
      <c r="I182" s="97">
        <f t="shared" si="18"/>
        <v>4289.139272</v>
      </c>
      <c r="J182" s="97">
        <f t="shared" si="19"/>
        <v>1969.228673</v>
      </c>
      <c r="K182" s="97">
        <f t="shared" si="4"/>
        <v>2319.910599</v>
      </c>
      <c r="L182" s="97">
        <f t="shared" si="16"/>
        <v>578016.6232</v>
      </c>
      <c r="M182" s="97">
        <f t="shared" si="17"/>
        <v>239483.3768</v>
      </c>
      <c r="N182" s="97">
        <f t="shared" si="5"/>
        <v>472505.5402</v>
      </c>
      <c r="O182" s="104" t="str">
        <f t="shared" si="14"/>
        <v/>
      </c>
      <c r="P182" s="105" t="str">
        <f t="shared" si="6"/>
        <v/>
      </c>
      <c r="Q182" s="106" t="str">
        <f t="shared" si="7"/>
        <v/>
      </c>
      <c r="R182" s="118" t="str">
        <f t="shared" si="8"/>
        <v/>
      </c>
      <c r="S182" s="118" t="str">
        <f t="shared" si="9"/>
        <v/>
      </c>
      <c r="T182" s="118" t="str">
        <f t="shared" si="10"/>
        <v/>
      </c>
      <c r="U182" s="118" t="str">
        <f t="shared" si="11"/>
        <v/>
      </c>
      <c r="V182" s="7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</row>
    <row r="183" ht="14.25" customHeight="1">
      <c r="A183" s="2"/>
      <c r="B183" s="2"/>
      <c r="C183" s="2"/>
      <c r="D183" s="2"/>
      <c r="E183" s="2"/>
      <c r="F183" s="2"/>
      <c r="G183" s="2"/>
      <c r="H183" s="125">
        <f t="shared" si="20"/>
        <v>167</v>
      </c>
      <c r="I183" s="97">
        <f t="shared" si="18"/>
        <v>4289.139272</v>
      </c>
      <c r="J183" s="97">
        <f t="shared" si="19"/>
        <v>1977.105587</v>
      </c>
      <c r="K183" s="97">
        <f t="shared" si="4"/>
        <v>2312.033685</v>
      </c>
      <c r="L183" s="97">
        <f t="shared" si="16"/>
        <v>576039.5176</v>
      </c>
      <c r="M183" s="97">
        <f t="shared" si="17"/>
        <v>241460.4824</v>
      </c>
      <c r="N183" s="97">
        <f t="shared" si="5"/>
        <v>474817.5739</v>
      </c>
      <c r="O183" s="104" t="str">
        <f t="shared" si="14"/>
        <v/>
      </c>
      <c r="P183" s="105" t="str">
        <f t="shared" si="6"/>
        <v/>
      </c>
      <c r="Q183" s="106" t="str">
        <f t="shared" si="7"/>
        <v/>
      </c>
      <c r="R183" s="118" t="str">
        <f t="shared" si="8"/>
        <v/>
      </c>
      <c r="S183" s="118" t="str">
        <f t="shared" si="9"/>
        <v/>
      </c>
      <c r="T183" s="118" t="str">
        <f t="shared" si="10"/>
        <v/>
      </c>
      <c r="U183" s="118" t="str">
        <f t="shared" si="11"/>
        <v/>
      </c>
      <c r="V183" s="7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</row>
    <row r="184" ht="14.25" customHeight="1">
      <c r="A184" s="2"/>
      <c r="B184" s="2"/>
      <c r="C184" s="2"/>
      <c r="D184" s="2"/>
      <c r="E184" s="2"/>
      <c r="F184" s="2"/>
      <c r="G184" s="2"/>
      <c r="H184" s="125">
        <f t="shared" si="20"/>
        <v>168</v>
      </c>
      <c r="I184" s="97">
        <f t="shared" si="18"/>
        <v>4289.139272</v>
      </c>
      <c r="J184" s="97">
        <f t="shared" si="19"/>
        <v>1985.01401</v>
      </c>
      <c r="K184" s="97">
        <f t="shared" si="4"/>
        <v>2304.125262</v>
      </c>
      <c r="L184" s="97">
        <f t="shared" si="16"/>
        <v>574054.5036</v>
      </c>
      <c r="M184" s="97">
        <f t="shared" si="17"/>
        <v>243445.4964</v>
      </c>
      <c r="N184" s="97">
        <f t="shared" si="5"/>
        <v>477121.6992</v>
      </c>
      <c r="O184" s="104" t="str">
        <f t="shared" si="14"/>
        <v/>
      </c>
      <c r="P184" s="105" t="str">
        <f t="shared" si="6"/>
        <v/>
      </c>
      <c r="Q184" s="106" t="str">
        <f t="shared" si="7"/>
        <v/>
      </c>
      <c r="R184" s="118" t="str">
        <f t="shared" si="8"/>
        <v/>
      </c>
      <c r="S184" s="118" t="str">
        <f t="shared" si="9"/>
        <v/>
      </c>
      <c r="T184" s="118" t="str">
        <f t="shared" si="10"/>
        <v/>
      </c>
      <c r="U184" s="118" t="str">
        <f t="shared" si="11"/>
        <v/>
      </c>
      <c r="V184" s="7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</row>
    <row r="185" ht="14.25" customHeight="1">
      <c r="A185" s="2"/>
      <c r="B185" s="2"/>
      <c r="C185" s="2"/>
      <c r="D185" s="2"/>
      <c r="E185" s="2"/>
      <c r="F185" s="2"/>
      <c r="G185" s="2"/>
      <c r="H185" s="125">
        <f t="shared" si="20"/>
        <v>169</v>
      </c>
      <c r="I185" s="97">
        <f t="shared" si="18"/>
        <v>4289.139272</v>
      </c>
      <c r="J185" s="97">
        <f t="shared" si="19"/>
        <v>1992.954066</v>
      </c>
      <c r="K185" s="97">
        <f t="shared" si="4"/>
        <v>2296.185206</v>
      </c>
      <c r="L185" s="97">
        <f t="shared" si="16"/>
        <v>572061.5496</v>
      </c>
      <c r="M185" s="97">
        <f t="shared" si="17"/>
        <v>245438.4504</v>
      </c>
      <c r="N185" s="97">
        <f t="shared" si="5"/>
        <v>479417.8844</v>
      </c>
      <c r="O185" s="104" t="str">
        <f t="shared" si="14"/>
        <v/>
      </c>
      <c r="P185" s="105" t="str">
        <f t="shared" si="6"/>
        <v/>
      </c>
      <c r="Q185" s="106" t="str">
        <f t="shared" si="7"/>
        <v/>
      </c>
      <c r="R185" s="118" t="str">
        <f t="shared" si="8"/>
        <v/>
      </c>
      <c r="S185" s="118" t="str">
        <f t="shared" si="9"/>
        <v/>
      </c>
      <c r="T185" s="118" t="str">
        <f t="shared" si="10"/>
        <v/>
      </c>
      <c r="U185" s="118" t="str">
        <f t="shared" si="11"/>
        <v/>
      </c>
      <c r="V185" s="7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</row>
    <row r="186" ht="14.25" customHeight="1">
      <c r="A186" s="2"/>
      <c r="B186" s="2"/>
      <c r="C186" s="2"/>
      <c r="D186" s="2"/>
      <c r="E186" s="2"/>
      <c r="F186" s="2"/>
      <c r="G186" s="2"/>
      <c r="H186" s="125">
        <f t="shared" si="20"/>
        <v>170</v>
      </c>
      <c r="I186" s="97">
        <f t="shared" si="18"/>
        <v>4289.139272</v>
      </c>
      <c r="J186" s="97">
        <f t="shared" si="19"/>
        <v>2000.925882</v>
      </c>
      <c r="K186" s="97">
        <f t="shared" si="4"/>
        <v>2288.21339</v>
      </c>
      <c r="L186" s="97">
        <f t="shared" si="16"/>
        <v>570060.6237</v>
      </c>
      <c r="M186" s="97">
        <f t="shared" si="17"/>
        <v>247439.3763</v>
      </c>
      <c r="N186" s="97">
        <f t="shared" si="5"/>
        <v>481706.0978</v>
      </c>
      <c r="O186" s="104" t="str">
        <f t="shared" si="14"/>
        <v/>
      </c>
      <c r="P186" s="105" t="str">
        <f t="shared" si="6"/>
        <v/>
      </c>
      <c r="Q186" s="106" t="str">
        <f t="shared" si="7"/>
        <v/>
      </c>
      <c r="R186" s="118" t="str">
        <f t="shared" si="8"/>
        <v/>
      </c>
      <c r="S186" s="118" t="str">
        <f t="shared" si="9"/>
        <v/>
      </c>
      <c r="T186" s="118" t="str">
        <f t="shared" si="10"/>
        <v/>
      </c>
      <c r="U186" s="118" t="str">
        <f t="shared" si="11"/>
        <v/>
      </c>
      <c r="V186" s="7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</row>
    <row r="187" ht="14.25" customHeight="1">
      <c r="A187" s="2"/>
      <c r="B187" s="2"/>
      <c r="C187" s="2"/>
      <c r="D187" s="2"/>
      <c r="E187" s="2"/>
      <c r="F187" s="2"/>
      <c r="G187" s="2"/>
      <c r="H187" s="125">
        <f t="shared" si="20"/>
        <v>171</v>
      </c>
      <c r="I187" s="97">
        <f t="shared" si="18"/>
        <v>4289.139272</v>
      </c>
      <c r="J187" s="97">
        <f t="shared" si="19"/>
        <v>2008.929585</v>
      </c>
      <c r="K187" s="97">
        <f t="shared" si="4"/>
        <v>2280.209686</v>
      </c>
      <c r="L187" s="97">
        <f t="shared" si="16"/>
        <v>568051.6941</v>
      </c>
      <c r="M187" s="97">
        <f t="shared" si="17"/>
        <v>249448.3059</v>
      </c>
      <c r="N187" s="97">
        <f t="shared" si="5"/>
        <v>483986.3075</v>
      </c>
      <c r="O187" s="104" t="str">
        <f t="shared" si="14"/>
        <v/>
      </c>
      <c r="P187" s="105" t="str">
        <f t="shared" si="6"/>
        <v/>
      </c>
      <c r="Q187" s="106" t="str">
        <f t="shared" si="7"/>
        <v/>
      </c>
      <c r="R187" s="118" t="str">
        <f t="shared" si="8"/>
        <v/>
      </c>
      <c r="S187" s="118" t="str">
        <f t="shared" si="9"/>
        <v/>
      </c>
      <c r="T187" s="118" t="str">
        <f t="shared" si="10"/>
        <v/>
      </c>
      <c r="U187" s="118" t="str">
        <f t="shared" si="11"/>
        <v/>
      </c>
      <c r="V187" s="7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</row>
    <row r="188" ht="14.25" customHeight="1">
      <c r="A188" s="2"/>
      <c r="B188" s="2"/>
      <c r="C188" s="2"/>
      <c r="D188" s="2"/>
      <c r="E188" s="2"/>
      <c r="F188" s="2"/>
      <c r="G188" s="2"/>
      <c r="H188" s="125">
        <f t="shared" si="20"/>
        <v>172</v>
      </c>
      <c r="I188" s="97">
        <f t="shared" si="18"/>
        <v>4289.139272</v>
      </c>
      <c r="J188" s="97">
        <f t="shared" si="19"/>
        <v>2016.965304</v>
      </c>
      <c r="K188" s="97">
        <f t="shared" si="4"/>
        <v>2272.173968</v>
      </c>
      <c r="L188" s="97">
        <f t="shared" si="16"/>
        <v>566034.7288</v>
      </c>
      <c r="M188" s="97">
        <f t="shared" si="17"/>
        <v>251465.2712</v>
      </c>
      <c r="N188" s="97">
        <f t="shared" si="5"/>
        <v>486258.4814</v>
      </c>
      <c r="O188" s="104" t="str">
        <f t="shared" si="14"/>
        <v/>
      </c>
      <c r="P188" s="105" t="str">
        <f t="shared" si="6"/>
        <v/>
      </c>
      <c r="Q188" s="106" t="str">
        <f t="shared" si="7"/>
        <v/>
      </c>
      <c r="R188" s="118" t="str">
        <f t="shared" si="8"/>
        <v/>
      </c>
      <c r="S188" s="118" t="str">
        <f t="shared" si="9"/>
        <v/>
      </c>
      <c r="T188" s="118" t="str">
        <f t="shared" si="10"/>
        <v/>
      </c>
      <c r="U188" s="118" t="str">
        <f t="shared" si="11"/>
        <v/>
      </c>
      <c r="V188" s="7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</row>
    <row r="189" ht="14.25" customHeight="1">
      <c r="A189" s="2"/>
      <c r="B189" s="2"/>
      <c r="C189" s="2"/>
      <c r="D189" s="2"/>
      <c r="E189" s="2"/>
      <c r="F189" s="2"/>
      <c r="G189" s="2"/>
      <c r="H189" s="125">
        <f t="shared" si="20"/>
        <v>173</v>
      </c>
      <c r="I189" s="97">
        <f t="shared" si="18"/>
        <v>4289.139272</v>
      </c>
      <c r="J189" s="97">
        <f t="shared" si="19"/>
        <v>2025.033165</v>
      </c>
      <c r="K189" s="97">
        <f t="shared" si="4"/>
        <v>2264.106107</v>
      </c>
      <c r="L189" s="97">
        <f t="shared" si="16"/>
        <v>564009.6956</v>
      </c>
      <c r="M189" s="97">
        <f t="shared" si="17"/>
        <v>253490.3044</v>
      </c>
      <c r="N189" s="97">
        <f t="shared" si="5"/>
        <v>488522.5875</v>
      </c>
      <c r="O189" s="104" t="str">
        <f t="shared" si="14"/>
        <v/>
      </c>
      <c r="P189" s="105" t="str">
        <f t="shared" si="6"/>
        <v/>
      </c>
      <c r="Q189" s="106" t="str">
        <f t="shared" si="7"/>
        <v/>
      </c>
      <c r="R189" s="118" t="str">
        <f t="shared" si="8"/>
        <v/>
      </c>
      <c r="S189" s="118" t="str">
        <f t="shared" si="9"/>
        <v/>
      </c>
      <c r="T189" s="118" t="str">
        <f t="shared" si="10"/>
        <v/>
      </c>
      <c r="U189" s="118" t="str">
        <f t="shared" si="11"/>
        <v/>
      </c>
      <c r="V189" s="7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</row>
    <row r="190" ht="14.25" customHeight="1">
      <c r="A190" s="2"/>
      <c r="B190" s="2"/>
      <c r="C190" s="2"/>
      <c r="D190" s="2"/>
      <c r="E190" s="2"/>
      <c r="F190" s="2"/>
      <c r="G190" s="2"/>
      <c r="H190" s="125">
        <f t="shared" si="20"/>
        <v>174</v>
      </c>
      <c r="I190" s="97">
        <f t="shared" si="18"/>
        <v>4289.139272</v>
      </c>
      <c r="J190" s="97">
        <f t="shared" si="19"/>
        <v>2033.133298</v>
      </c>
      <c r="K190" s="97">
        <f t="shared" si="4"/>
        <v>2256.005974</v>
      </c>
      <c r="L190" s="97">
        <f t="shared" si="16"/>
        <v>561976.5623</v>
      </c>
      <c r="M190" s="97">
        <f t="shared" si="17"/>
        <v>255523.4377</v>
      </c>
      <c r="N190" s="97">
        <f t="shared" si="5"/>
        <v>490778.5935</v>
      </c>
      <c r="O190" s="104" t="str">
        <f t="shared" si="14"/>
        <v/>
      </c>
      <c r="P190" s="105" t="str">
        <f t="shared" si="6"/>
        <v/>
      </c>
      <c r="Q190" s="106" t="str">
        <f t="shared" si="7"/>
        <v/>
      </c>
      <c r="R190" s="118" t="str">
        <f t="shared" si="8"/>
        <v/>
      </c>
      <c r="S190" s="118" t="str">
        <f t="shared" si="9"/>
        <v/>
      </c>
      <c r="T190" s="118" t="str">
        <f t="shared" si="10"/>
        <v/>
      </c>
      <c r="U190" s="118" t="str">
        <f t="shared" si="11"/>
        <v/>
      </c>
      <c r="V190" s="7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</row>
    <row r="191" ht="14.25" customHeight="1">
      <c r="A191" s="2"/>
      <c r="B191" s="2"/>
      <c r="C191" s="2"/>
      <c r="D191" s="2"/>
      <c r="E191" s="2"/>
      <c r="F191" s="2"/>
      <c r="G191" s="2"/>
      <c r="H191" s="125">
        <f t="shared" si="20"/>
        <v>175</v>
      </c>
      <c r="I191" s="97">
        <f t="shared" si="18"/>
        <v>4289.139272</v>
      </c>
      <c r="J191" s="97">
        <f t="shared" si="19"/>
        <v>2041.265831</v>
      </c>
      <c r="K191" s="97">
        <f t="shared" si="4"/>
        <v>2247.873441</v>
      </c>
      <c r="L191" s="97">
        <f t="shared" si="16"/>
        <v>559935.2965</v>
      </c>
      <c r="M191" s="97">
        <f t="shared" si="17"/>
        <v>257564.7035</v>
      </c>
      <c r="N191" s="97">
        <f t="shared" si="5"/>
        <v>493026.467</v>
      </c>
      <c r="O191" s="104" t="str">
        <f t="shared" si="14"/>
        <v/>
      </c>
      <c r="P191" s="105" t="str">
        <f t="shared" si="6"/>
        <v/>
      </c>
      <c r="Q191" s="106" t="str">
        <f t="shared" si="7"/>
        <v/>
      </c>
      <c r="R191" s="118" t="str">
        <f t="shared" si="8"/>
        <v/>
      </c>
      <c r="S191" s="118" t="str">
        <f t="shared" si="9"/>
        <v/>
      </c>
      <c r="T191" s="118" t="str">
        <f t="shared" si="10"/>
        <v/>
      </c>
      <c r="U191" s="118" t="str">
        <f t="shared" si="11"/>
        <v/>
      </c>
      <c r="V191" s="7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</row>
    <row r="192" ht="14.25" customHeight="1">
      <c r="A192" s="2"/>
      <c r="B192" s="2"/>
      <c r="C192" s="2"/>
      <c r="D192" s="2"/>
      <c r="E192" s="2"/>
      <c r="F192" s="2"/>
      <c r="G192" s="2"/>
      <c r="H192" s="125">
        <f t="shared" si="20"/>
        <v>176</v>
      </c>
      <c r="I192" s="97">
        <f t="shared" si="18"/>
        <v>4289.139272</v>
      </c>
      <c r="J192" s="97">
        <f t="shared" si="19"/>
        <v>2049.430894</v>
      </c>
      <c r="K192" s="97">
        <f t="shared" si="4"/>
        <v>2239.708378</v>
      </c>
      <c r="L192" s="97">
        <f t="shared" si="16"/>
        <v>557885.8656</v>
      </c>
      <c r="M192" s="97">
        <f t="shared" si="17"/>
        <v>259614.1344</v>
      </c>
      <c r="N192" s="97">
        <f t="shared" si="5"/>
        <v>495266.1753</v>
      </c>
      <c r="O192" s="104" t="str">
        <f t="shared" si="14"/>
        <v/>
      </c>
      <c r="P192" s="105" t="str">
        <f t="shared" si="6"/>
        <v/>
      </c>
      <c r="Q192" s="106" t="str">
        <f t="shared" si="7"/>
        <v/>
      </c>
      <c r="R192" s="118" t="str">
        <f t="shared" si="8"/>
        <v/>
      </c>
      <c r="S192" s="118" t="str">
        <f t="shared" si="9"/>
        <v/>
      </c>
      <c r="T192" s="118" t="str">
        <f t="shared" si="10"/>
        <v/>
      </c>
      <c r="U192" s="118" t="str">
        <f t="shared" si="11"/>
        <v/>
      </c>
      <c r="V192" s="7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</row>
    <row r="193" ht="14.25" customHeight="1">
      <c r="A193" s="2"/>
      <c r="B193" s="2"/>
      <c r="C193" s="2"/>
      <c r="D193" s="2"/>
      <c r="E193" s="2"/>
      <c r="F193" s="2"/>
      <c r="G193" s="2"/>
      <c r="H193" s="125">
        <f t="shared" si="20"/>
        <v>177</v>
      </c>
      <c r="I193" s="97">
        <f t="shared" si="18"/>
        <v>4289.139272</v>
      </c>
      <c r="J193" s="97">
        <f t="shared" si="19"/>
        <v>2057.628618</v>
      </c>
      <c r="K193" s="97">
        <f t="shared" si="4"/>
        <v>2231.510654</v>
      </c>
      <c r="L193" s="97">
        <f t="shared" si="16"/>
        <v>555828.237</v>
      </c>
      <c r="M193" s="97">
        <f t="shared" si="17"/>
        <v>261671.763</v>
      </c>
      <c r="N193" s="97">
        <f t="shared" si="5"/>
        <v>497497.686</v>
      </c>
      <c r="O193" s="104" t="str">
        <f t="shared" si="14"/>
        <v/>
      </c>
      <c r="P193" s="105" t="str">
        <f t="shared" si="6"/>
        <v/>
      </c>
      <c r="Q193" s="106" t="str">
        <f t="shared" si="7"/>
        <v/>
      </c>
      <c r="R193" s="118" t="str">
        <f t="shared" si="8"/>
        <v/>
      </c>
      <c r="S193" s="118" t="str">
        <f t="shared" si="9"/>
        <v/>
      </c>
      <c r="T193" s="118" t="str">
        <f t="shared" si="10"/>
        <v/>
      </c>
      <c r="U193" s="118" t="str">
        <f t="shared" si="11"/>
        <v/>
      </c>
      <c r="V193" s="7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</row>
    <row r="194" ht="14.25" customHeight="1">
      <c r="A194" s="2"/>
      <c r="B194" s="2"/>
      <c r="C194" s="2"/>
      <c r="D194" s="2"/>
      <c r="E194" s="2"/>
      <c r="F194" s="2"/>
      <c r="G194" s="2"/>
      <c r="H194" s="125">
        <f t="shared" si="20"/>
        <v>178</v>
      </c>
      <c r="I194" s="97">
        <f t="shared" si="18"/>
        <v>4289.139272</v>
      </c>
      <c r="J194" s="97">
        <f t="shared" si="19"/>
        <v>2065.859132</v>
      </c>
      <c r="K194" s="97">
        <f t="shared" si="4"/>
        <v>2223.28014</v>
      </c>
      <c r="L194" s="97">
        <f t="shared" si="16"/>
        <v>553762.3779</v>
      </c>
      <c r="M194" s="97">
        <f t="shared" si="17"/>
        <v>263737.6221</v>
      </c>
      <c r="N194" s="97">
        <f t="shared" si="5"/>
        <v>499720.9661</v>
      </c>
      <c r="O194" s="104" t="str">
        <f t="shared" si="14"/>
        <v/>
      </c>
      <c r="P194" s="105" t="str">
        <f t="shared" si="6"/>
        <v/>
      </c>
      <c r="Q194" s="106" t="str">
        <f t="shared" si="7"/>
        <v/>
      </c>
      <c r="R194" s="118" t="str">
        <f t="shared" si="8"/>
        <v/>
      </c>
      <c r="S194" s="118" t="str">
        <f t="shared" si="9"/>
        <v/>
      </c>
      <c r="T194" s="118" t="str">
        <f t="shared" si="10"/>
        <v/>
      </c>
      <c r="U194" s="118" t="str">
        <f t="shared" si="11"/>
        <v/>
      </c>
      <c r="V194" s="7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</row>
    <row r="195" ht="14.25" customHeight="1">
      <c r="A195" s="2"/>
      <c r="B195" s="2"/>
      <c r="C195" s="2"/>
      <c r="D195" s="2"/>
      <c r="E195" s="2"/>
      <c r="F195" s="2"/>
      <c r="G195" s="2"/>
      <c r="H195" s="125">
        <f t="shared" si="20"/>
        <v>179</v>
      </c>
      <c r="I195" s="97">
        <f t="shared" si="18"/>
        <v>4289.139272</v>
      </c>
      <c r="J195" s="97">
        <f t="shared" si="19"/>
        <v>2074.122569</v>
      </c>
      <c r="K195" s="97">
        <f t="shared" si="4"/>
        <v>2215.016703</v>
      </c>
      <c r="L195" s="97">
        <f t="shared" si="16"/>
        <v>551688.2553</v>
      </c>
      <c r="M195" s="97">
        <f t="shared" si="17"/>
        <v>265811.7447</v>
      </c>
      <c r="N195" s="97">
        <f t="shared" si="5"/>
        <v>501935.9828</v>
      </c>
      <c r="O195" s="240" t="str">
        <f t="shared" si="14"/>
        <v/>
      </c>
      <c r="P195" s="238" t="str">
        <f t="shared" si="6"/>
        <v/>
      </c>
      <c r="Q195" s="116" t="str">
        <f t="shared" si="7"/>
        <v/>
      </c>
      <c r="R195" s="118" t="str">
        <f t="shared" si="8"/>
        <v/>
      </c>
      <c r="S195" s="118" t="str">
        <f t="shared" si="9"/>
        <v/>
      </c>
      <c r="T195" s="118" t="str">
        <f t="shared" si="10"/>
        <v/>
      </c>
      <c r="U195" s="118" t="str">
        <f t="shared" si="11"/>
        <v/>
      </c>
      <c r="V195" s="7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</row>
    <row r="196" ht="14.25" customHeight="1">
      <c r="A196" s="2"/>
      <c r="B196" s="2"/>
      <c r="C196" s="2"/>
      <c r="D196" s="2"/>
      <c r="E196" s="2"/>
      <c r="F196" s="2"/>
      <c r="G196" s="2"/>
      <c r="H196" s="125">
        <f t="shared" si="20"/>
        <v>180</v>
      </c>
      <c r="I196" s="97">
        <f t="shared" si="18"/>
        <v>4289.139272</v>
      </c>
      <c r="J196" s="97">
        <f t="shared" si="19"/>
        <v>2082.419059</v>
      </c>
      <c r="K196" s="97">
        <f t="shared" si="4"/>
        <v>2206.720213</v>
      </c>
      <c r="L196" s="97">
        <f t="shared" si="16"/>
        <v>549605.8362</v>
      </c>
      <c r="M196" s="97">
        <f t="shared" si="17"/>
        <v>267894.1638</v>
      </c>
      <c r="N196" s="235">
        <f t="shared" si="5"/>
        <v>504142.703</v>
      </c>
      <c r="O196" s="241" t="str">
        <f t="shared" si="14"/>
        <v/>
      </c>
      <c r="P196" s="242" t="str">
        <f t="shared" si="6"/>
        <v/>
      </c>
      <c r="Q196" s="242" t="str">
        <f t="shared" si="7"/>
        <v/>
      </c>
      <c r="R196" s="242" t="str">
        <f t="shared" si="8"/>
        <v/>
      </c>
      <c r="S196" s="242" t="str">
        <f t="shared" si="9"/>
        <v/>
      </c>
      <c r="T196" s="242" t="str">
        <f t="shared" si="10"/>
        <v/>
      </c>
      <c r="U196" s="242" t="str">
        <f t="shared" si="11"/>
        <v/>
      </c>
      <c r="V196" s="7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</row>
    <row r="197" ht="14.25" customHeight="1">
      <c r="A197" s="2"/>
      <c r="B197" s="2"/>
      <c r="C197" s="2"/>
      <c r="D197" s="2"/>
      <c r="E197" s="2"/>
      <c r="F197" s="2"/>
      <c r="G197" s="2"/>
      <c r="H197" s="125">
        <f t="shared" si="20"/>
        <v>181</v>
      </c>
      <c r="I197" s="97">
        <f t="shared" si="18"/>
        <v>4289.139272</v>
      </c>
      <c r="J197" s="97">
        <f t="shared" si="19"/>
        <v>2090.748735</v>
      </c>
      <c r="K197" s="97">
        <f t="shared" si="4"/>
        <v>2198.390537</v>
      </c>
      <c r="L197" s="97">
        <f t="shared" si="16"/>
        <v>547515.0875</v>
      </c>
      <c r="M197" s="97">
        <f t="shared" si="17"/>
        <v>269984.9125</v>
      </c>
      <c r="N197" s="235">
        <f t="shared" si="5"/>
        <v>506341.0936</v>
      </c>
      <c r="O197" s="241" t="str">
        <f t="shared" si="14"/>
        <v/>
      </c>
      <c r="P197" s="242" t="str">
        <f t="shared" si="6"/>
        <v/>
      </c>
      <c r="Q197" s="242" t="str">
        <f t="shared" si="7"/>
        <v/>
      </c>
      <c r="R197" s="242" t="str">
        <f t="shared" si="8"/>
        <v/>
      </c>
      <c r="S197" s="242" t="str">
        <f t="shared" si="9"/>
        <v/>
      </c>
      <c r="T197" s="242" t="str">
        <f t="shared" si="10"/>
        <v/>
      </c>
      <c r="U197" s="242" t="str">
        <f t="shared" si="11"/>
        <v/>
      </c>
      <c r="V197" s="7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</row>
    <row r="198" ht="14.25" customHeight="1">
      <c r="A198" s="2"/>
      <c r="B198" s="2"/>
      <c r="C198" s="2"/>
      <c r="D198" s="2"/>
      <c r="E198" s="2"/>
      <c r="F198" s="2"/>
      <c r="G198" s="2"/>
      <c r="H198" s="125">
        <f t="shared" si="20"/>
        <v>182</v>
      </c>
      <c r="I198" s="97">
        <f t="shared" si="18"/>
        <v>4289.139272</v>
      </c>
      <c r="J198" s="97">
        <f t="shared" si="19"/>
        <v>2099.11173</v>
      </c>
      <c r="K198" s="97">
        <f t="shared" si="4"/>
        <v>2190.027542</v>
      </c>
      <c r="L198" s="97">
        <f t="shared" si="16"/>
        <v>545415.9758</v>
      </c>
      <c r="M198" s="97">
        <f t="shared" si="17"/>
        <v>272084.0242</v>
      </c>
      <c r="N198" s="235">
        <f t="shared" si="5"/>
        <v>508531.1211</v>
      </c>
      <c r="O198" s="241" t="str">
        <f t="shared" si="14"/>
        <v/>
      </c>
      <c r="P198" s="242" t="str">
        <f t="shared" si="6"/>
        <v/>
      </c>
      <c r="Q198" s="242" t="str">
        <f t="shared" si="7"/>
        <v/>
      </c>
      <c r="R198" s="242" t="str">
        <f t="shared" si="8"/>
        <v/>
      </c>
      <c r="S198" s="242" t="str">
        <f t="shared" si="9"/>
        <v/>
      </c>
      <c r="T198" s="242" t="str">
        <f t="shared" si="10"/>
        <v/>
      </c>
      <c r="U198" s="242" t="str">
        <f t="shared" si="11"/>
        <v/>
      </c>
      <c r="V198" s="7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</row>
    <row r="199" ht="14.25" customHeight="1">
      <c r="A199" s="2"/>
      <c r="B199" s="2"/>
      <c r="C199" s="2"/>
      <c r="D199" s="2"/>
      <c r="E199" s="2"/>
      <c r="F199" s="2"/>
      <c r="G199" s="2"/>
      <c r="H199" s="125">
        <f t="shared" si="20"/>
        <v>183</v>
      </c>
      <c r="I199" s="97">
        <f t="shared" si="18"/>
        <v>4289.139272</v>
      </c>
      <c r="J199" s="97">
        <f t="shared" si="19"/>
        <v>2107.508177</v>
      </c>
      <c r="K199" s="97">
        <f t="shared" si="4"/>
        <v>2181.631095</v>
      </c>
      <c r="L199" s="97">
        <f t="shared" si="16"/>
        <v>543308.4676</v>
      </c>
      <c r="M199" s="97">
        <f t="shared" si="17"/>
        <v>274191.5324</v>
      </c>
      <c r="N199" s="235">
        <f t="shared" si="5"/>
        <v>510712.7522</v>
      </c>
      <c r="O199" s="241" t="str">
        <f t="shared" si="14"/>
        <v/>
      </c>
      <c r="P199" s="242" t="str">
        <f t="shared" si="6"/>
        <v/>
      </c>
      <c r="Q199" s="242" t="str">
        <f t="shared" si="7"/>
        <v/>
      </c>
      <c r="R199" s="242" t="str">
        <f t="shared" si="8"/>
        <v/>
      </c>
      <c r="S199" s="242" t="str">
        <f t="shared" si="9"/>
        <v/>
      </c>
      <c r="T199" s="242" t="str">
        <f t="shared" si="10"/>
        <v/>
      </c>
      <c r="U199" s="242" t="str">
        <f t="shared" si="11"/>
        <v/>
      </c>
      <c r="V199" s="7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</row>
    <row r="200" ht="14.25" customHeight="1">
      <c r="A200" s="2"/>
      <c r="B200" s="2"/>
      <c r="C200" s="2"/>
      <c r="D200" s="2"/>
      <c r="E200" s="2"/>
      <c r="F200" s="2"/>
      <c r="G200" s="2"/>
      <c r="H200" s="125">
        <f t="shared" si="20"/>
        <v>184</v>
      </c>
      <c r="I200" s="97">
        <f t="shared" si="18"/>
        <v>4289.139272</v>
      </c>
      <c r="J200" s="97">
        <f t="shared" si="19"/>
        <v>2115.93821</v>
      </c>
      <c r="K200" s="97">
        <f t="shared" si="4"/>
        <v>2173.201062</v>
      </c>
      <c r="L200" s="97">
        <f t="shared" si="16"/>
        <v>541192.5294</v>
      </c>
      <c r="M200" s="97">
        <f t="shared" si="17"/>
        <v>276307.4706</v>
      </c>
      <c r="N200" s="235">
        <f t="shared" si="5"/>
        <v>512885.9533</v>
      </c>
      <c r="O200" s="241" t="str">
        <f t="shared" si="14"/>
        <v/>
      </c>
      <c r="P200" s="242" t="str">
        <f t="shared" si="6"/>
        <v/>
      </c>
      <c r="Q200" s="242" t="str">
        <f t="shared" si="7"/>
        <v/>
      </c>
      <c r="R200" s="242" t="str">
        <f t="shared" si="8"/>
        <v/>
      </c>
      <c r="S200" s="242" t="str">
        <f t="shared" si="9"/>
        <v/>
      </c>
      <c r="T200" s="242" t="str">
        <f t="shared" si="10"/>
        <v/>
      </c>
      <c r="U200" s="242" t="str">
        <f t="shared" si="11"/>
        <v/>
      </c>
      <c r="V200" s="7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</row>
    <row r="201" ht="14.25" customHeight="1">
      <c r="A201" s="2"/>
      <c r="B201" s="2"/>
      <c r="C201" s="2"/>
      <c r="D201" s="2"/>
      <c r="E201" s="2"/>
      <c r="F201" s="2"/>
      <c r="G201" s="2"/>
      <c r="H201" s="125">
        <f t="shared" si="20"/>
        <v>185</v>
      </c>
      <c r="I201" s="97">
        <f t="shared" si="18"/>
        <v>4289.139272</v>
      </c>
      <c r="J201" s="97">
        <f t="shared" si="19"/>
        <v>2124.401963</v>
      </c>
      <c r="K201" s="97">
        <f t="shared" si="4"/>
        <v>2164.737309</v>
      </c>
      <c r="L201" s="97">
        <f t="shared" si="16"/>
        <v>539068.1274</v>
      </c>
      <c r="M201" s="97">
        <f t="shared" si="17"/>
        <v>278431.8726</v>
      </c>
      <c r="N201" s="235">
        <f t="shared" si="5"/>
        <v>515050.6906</v>
      </c>
      <c r="O201" s="241" t="str">
        <f t="shared" si="14"/>
        <v/>
      </c>
      <c r="P201" s="242" t="str">
        <f t="shared" si="6"/>
        <v/>
      </c>
      <c r="Q201" s="242" t="str">
        <f t="shared" si="7"/>
        <v/>
      </c>
      <c r="R201" s="242" t="str">
        <f t="shared" si="8"/>
        <v/>
      </c>
      <c r="S201" s="242" t="str">
        <f t="shared" si="9"/>
        <v/>
      </c>
      <c r="T201" s="242" t="str">
        <f t="shared" si="10"/>
        <v/>
      </c>
      <c r="U201" s="242" t="str">
        <f t="shared" si="11"/>
        <v/>
      </c>
      <c r="V201" s="7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</row>
    <row r="202" ht="14.25" customHeight="1">
      <c r="A202" s="2"/>
      <c r="B202" s="2"/>
      <c r="C202" s="2"/>
      <c r="D202" s="2"/>
      <c r="E202" s="2"/>
      <c r="F202" s="2"/>
      <c r="G202" s="2"/>
      <c r="H202" s="125">
        <f t="shared" si="20"/>
        <v>186</v>
      </c>
      <c r="I202" s="97">
        <f t="shared" si="18"/>
        <v>4289.139272</v>
      </c>
      <c r="J202" s="97">
        <f t="shared" si="19"/>
        <v>2132.89957</v>
      </c>
      <c r="K202" s="97">
        <f t="shared" si="4"/>
        <v>2156.239701</v>
      </c>
      <c r="L202" s="97">
        <f t="shared" si="16"/>
        <v>536935.2278</v>
      </c>
      <c r="M202" s="97">
        <f t="shared" si="17"/>
        <v>280564.7722</v>
      </c>
      <c r="N202" s="235">
        <f t="shared" si="5"/>
        <v>517206.9303</v>
      </c>
      <c r="O202" s="241" t="str">
        <f t="shared" si="14"/>
        <v/>
      </c>
      <c r="P202" s="242" t="str">
        <f t="shared" si="6"/>
        <v/>
      </c>
      <c r="Q202" s="242" t="str">
        <f t="shared" si="7"/>
        <v/>
      </c>
      <c r="R202" s="242" t="str">
        <f t="shared" si="8"/>
        <v/>
      </c>
      <c r="S202" s="242" t="str">
        <f t="shared" si="9"/>
        <v/>
      </c>
      <c r="T202" s="242" t="str">
        <f t="shared" si="10"/>
        <v/>
      </c>
      <c r="U202" s="242" t="str">
        <f t="shared" si="11"/>
        <v/>
      </c>
      <c r="V202" s="7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</row>
    <row r="203" ht="14.25" customHeight="1">
      <c r="A203" s="2"/>
      <c r="B203" s="2"/>
      <c r="C203" s="2"/>
      <c r="D203" s="2"/>
      <c r="E203" s="2"/>
      <c r="F203" s="2"/>
      <c r="G203" s="2"/>
      <c r="H203" s="125">
        <f t="shared" si="20"/>
        <v>187</v>
      </c>
      <c r="I203" s="97">
        <f t="shared" si="18"/>
        <v>4289.139272</v>
      </c>
      <c r="J203" s="97">
        <f t="shared" si="19"/>
        <v>2141.431169</v>
      </c>
      <c r="K203" s="97">
        <f t="shared" si="4"/>
        <v>2147.708103</v>
      </c>
      <c r="L203" s="97">
        <f t="shared" si="16"/>
        <v>534793.7967</v>
      </c>
      <c r="M203" s="97">
        <f t="shared" si="17"/>
        <v>282706.2033</v>
      </c>
      <c r="N203" s="235">
        <f t="shared" si="5"/>
        <v>519354.6384</v>
      </c>
      <c r="O203" s="241" t="str">
        <f t="shared" si="14"/>
        <v/>
      </c>
      <c r="P203" s="242" t="str">
        <f t="shared" si="6"/>
        <v/>
      </c>
      <c r="Q203" s="242" t="str">
        <f t="shared" si="7"/>
        <v/>
      </c>
      <c r="R203" s="242" t="str">
        <f t="shared" si="8"/>
        <v/>
      </c>
      <c r="S203" s="242" t="str">
        <f t="shared" si="9"/>
        <v/>
      </c>
      <c r="T203" s="242" t="str">
        <f t="shared" si="10"/>
        <v/>
      </c>
      <c r="U203" s="242" t="str">
        <f t="shared" si="11"/>
        <v/>
      </c>
      <c r="V203" s="7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</row>
    <row r="204" ht="14.25" customHeight="1">
      <c r="A204" s="2"/>
      <c r="B204" s="2"/>
      <c r="C204" s="2"/>
      <c r="D204" s="2"/>
      <c r="E204" s="2"/>
      <c r="F204" s="2"/>
      <c r="G204" s="2"/>
      <c r="H204" s="125">
        <f t="shared" si="20"/>
        <v>188</v>
      </c>
      <c r="I204" s="97">
        <f t="shared" si="18"/>
        <v>4289.139272</v>
      </c>
      <c r="J204" s="97">
        <f t="shared" si="19"/>
        <v>2149.996893</v>
      </c>
      <c r="K204" s="97">
        <f t="shared" si="4"/>
        <v>2139.142378</v>
      </c>
      <c r="L204" s="97">
        <f t="shared" si="16"/>
        <v>532643.7998</v>
      </c>
      <c r="M204" s="97">
        <f t="shared" si="17"/>
        <v>284856.2002</v>
      </c>
      <c r="N204" s="235">
        <f t="shared" si="5"/>
        <v>521493.7808</v>
      </c>
      <c r="O204" s="241" t="str">
        <f t="shared" si="14"/>
        <v/>
      </c>
      <c r="P204" s="242" t="str">
        <f t="shared" si="6"/>
        <v/>
      </c>
      <c r="Q204" s="242" t="str">
        <f t="shared" si="7"/>
        <v/>
      </c>
      <c r="R204" s="242" t="str">
        <f t="shared" si="8"/>
        <v/>
      </c>
      <c r="S204" s="242" t="str">
        <f t="shared" si="9"/>
        <v/>
      </c>
      <c r="T204" s="242" t="str">
        <f t="shared" si="10"/>
        <v/>
      </c>
      <c r="U204" s="242" t="str">
        <f t="shared" si="11"/>
        <v/>
      </c>
      <c r="V204" s="7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</row>
    <row r="205" ht="14.25" customHeight="1">
      <c r="A205" s="2"/>
      <c r="B205" s="2"/>
      <c r="C205" s="2"/>
      <c r="D205" s="2"/>
      <c r="E205" s="2"/>
      <c r="F205" s="2"/>
      <c r="G205" s="2"/>
      <c r="H205" s="125">
        <f t="shared" si="20"/>
        <v>189</v>
      </c>
      <c r="I205" s="97">
        <f t="shared" si="18"/>
        <v>4289.139272</v>
      </c>
      <c r="J205" s="97">
        <f t="shared" si="19"/>
        <v>2158.596881</v>
      </c>
      <c r="K205" s="97">
        <f t="shared" si="4"/>
        <v>2130.542391</v>
      </c>
      <c r="L205" s="97">
        <f t="shared" si="16"/>
        <v>530485.2029</v>
      </c>
      <c r="M205" s="97">
        <f t="shared" si="17"/>
        <v>287014.7971</v>
      </c>
      <c r="N205" s="235">
        <f t="shared" si="5"/>
        <v>523624.3232</v>
      </c>
      <c r="O205" s="241" t="str">
        <f t="shared" si="14"/>
        <v/>
      </c>
      <c r="P205" s="242" t="str">
        <f t="shared" si="6"/>
        <v/>
      </c>
      <c r="Q205" s="242" t="str">
        <f t="shared" si="7"/>
        <v/>
      </c>
      <c r="R205" s="242" t="str">
        <f t="shared" si="8"/>
        <v/>
      </c>
      <c r="S205" s="242" t="str">
        <f t="shared" si="9"/>
        <v/>
      </c>
      <c r="T205" s="242" t="str">
        <f t="shared" si="10"/>
        <v/>
      </c>
      <c r="U205" s="242" t="str">
        <f t="shared" si="11"/>
        <v/>
      </c>
      <c r="V205" s="7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</row>
    <row r="206" ht="14.25" customHeight="1">
      <c r="A206" s="2"/>
      <c r="B206" s="2"/>
      <c r="C206" s="2"/>
      <c r="D206" s="2"/>
      <c r="E206" s="2"/>
      <c r="F206" s="2"/>
      <c r="G206" s="2"/>
      <c r="H206" s="125">
        <f t="shared" si="20"/>
        <v>190</v>
      </c>
      <c r="I206" s="97">
        <f t="shared" si="18"/>
        <v>4289.139272</v>
      </c>
      <c r="J206" s="97">
        <f t="shared" si="19"/>
        <v>2167.231269</v>
      </c>
      <c r="K206" s="97">
        <f t="shared" si="4"/>
        <v>2121.908003</v>
      </c>
      <c r="L206" s="97">
        <f t="shared" si="16"/>
        <v>528317.9716</v>
      </c>
      <c r="M206" s="97">
        <f t="shared" si="17"/>
        <v>289182.0284</v>
      </c>
      <c r="N206" s="235">
        <f t="shared" si="5"/>
        <v>525746.2312</v>
      </c>
      <c r="O206" s="241" t="str">
        <f t="shared" si="14"/>
        <v/>
      </c>
      <c r="P206" s="242" t="str">
        <f t="shared" si="6"/>
        <v/>
      </c>
      <c r="Q206" s="242" t="str">
        <f t="shared" si="7"/>
        <v/>
      </c>
      <c r="R206" s="242" t="str">
        <f t="shared" si="8"/>
        <v/>
      </c>
      <c r="S206" s="242" t="str">
        <f t="shared" si="9"/>
        <v/>
      </c>
      <c r="T206" s="242" t="str">
        <f t="shared" si="10"/>
        <v/>
      </c>
      <c r="U206" s="242" t="str">
        <f t="shared" si="11"/>
        <v/>
      </c>
      <c r="V206" s="7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</row>
    <row r="207" ht="14.25" customHeight="1">
      <c r="A207" s="2"/>
      <c r="B207" s="2"/>
      <c r="C207" s="2"/>
      <c r="D207" s="2"/>
      <c r="E207" s="2"/>
      <c r="F207" s="2"/>
      <c r="G207" s="2"/>
      <c r="H207" s="125">
        <f t="shared" si="20"/>
        <v>191</v>
      </c>
      <c r="I207" s="97">
        <f t="shared" si="18"/>
        <v>4289.139272</v>
      </c>
      <c r="J207" s="97">
        <f t="shared" si="19"/>
        <v>2175.900194</v>
      </c>
      <c r="K207" s="97">
        <f t="shared" si="4"/>
        <v>2113.239078</v>
      </c>
      <c r="L207" s="97">
        <f t="shared" si="16"/>
        <v>526142.0714</v>
      </c>
      <c r="M207" s="97">
        <f t="shared" si="17"/>
        <v>291357.9286</v>
      </c>
      <c r="N207" s="235">
        <f t="shared" si="5"/>
        <v>527859.4702</v>
      </c>
      <c r="O207" s="241" t="str">
        <f t="shared" si="14"/>
        <v/>
      </c>
      <c r="P207" s="242" t="str">
        <f t="shared" si="6"/>
        <v/>
      </c>
      <c r="Q207" s="242" t="str">
        <f t="shared" si="7"/>
        <v/>
      </c>
      <c r="R207" s="242" t="str">
        <f t="shared" si="8"/>
        <v/>
      </c>
      <c r="S207" s="242" t="str">
        <f t="shared" si="9"/>
        <v/>
      </c>
      <c r="T207" s="242" t="str">
        <f t="shared" si="10"/>
        <v/>
      </c>
      <c r="U207" s="242" t="str">
        <f t="shared" si="11"/>
        <v/>
      </c>
      <c r="V207" s="7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</row>
    <row r="208" ht="14.25" customHeight="1">
      <c r="A208" s="2"/>
      <c r="B208" s="2"/>
      <c r="C208" s="2"/>
      <c r="D208" s="2"/>
      <c r="E208" s="2"/>
      <c r="F208" s="2"/>
      <c r="G208" s="2"/>
      <c r="H208" s="125">
        <f t="shared" si="20"/>
        <v>192</v>
      </c>
      <c r="I208" s="97">
        <f t="shared" si="18"/>
        <v>4289.139272</v>
      </c>
      <c r="J208" s="97">
        <f t="shared" si="19"/>
        <v>2184.603794</v>
      </c>
      <c r="K208" s="97">
        <f t="shared" si="4"/>
        <v>2104.535477</v>
      </c>
      <c r="L208" s="97">
        <f t="shared" si="16"/>
        <v>523957.4676</v>
      </c>
      <c r="M208" s="97">
        <f t="shared" si="17"/>
        <v>293542.5324</v>
      </c>
      <c r="N208" s="235">
        <f t="shared" si="5"/>
        <v>529964.0057</v>
      </c>
      <c r="O208" s="241" t="str">
        <f t="shared" si="14"/>
        <v/>
      </c>
      <c r="P208" s="242" t="str">
        <f t="shared" si="6"/>
        <v/>
      </c>
      <c r="Q208" s="242" t="str">
        <f t="shared" si="7"/>
        <v/>
      </c>
      <c r="R208" s="242" t="str">
        <f t="shared" si="8"/>
        <v/>
      </c>
      <c r="S208" s="242" t="str">
        <f t="shared" si="9"/>
        <v/>
      </c>
      <c r="T208" s="242" t="str">
        <f t="shared" si="10"/>
        <v/>
      </c>
      <c r="U208" s="242" t="str">
        <f t="shared" si="11"/>
        <v/>
      </c>
      <c r="V208" s="7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</row>
    <row r="209" ht="14.25" customHeight="1">
      <c r="A209" s="2"/>
      <c r="B209" s="2"/>
      <c r="C209" s="2"/>
      <c r="D209" s="2"/>
      <c r="E209" s="2"/>
      <c r="F209" s="2"/>
      <c r="G209" s="2"/>
      <c r="H209" s="125">
        <f t="shared" si="20"/>
        <v>193</v>
      </c>
      <c r="I209" s="97">
        <f t="shared" si="18"/>
        <v>4289.139272</v>
      </c>
      <c r="J209" s="97">
        <f t="shared" si="19"/>
        <v>2193.34221</v>
      </c>
      <c r="K209" s="97">
        <f t="shared" si="4"/>
        <v>2095.797062</v>
      </c>
      <c r="L209" s="97">
        <f t="shared" si="16"/>
        <v>521764.1254</v>
      </c>
      <c r="M209" s="97">
        <f t="shared" si="17"/>
        <v>295735.8746</v>
      </c>
      <c r="N209" s="235">
        <f t="shared" si="5"/>
        <v>532059.8028</v>
      </c>
      <c r="O209" s="241" t="str">
        <f t="shared" si="14"/>
        <v/>
      </c>
      <c r="P209" s="242" t="str">
        <f t="shared" si="6"/>
        <v/>
      </c>
      <c r="Q209" s="242" t="str">
        <f t="shared" si="7"/>
        <v/>
      </c>
      <c r="R209" s="242" t="str">
        <f t="shared" si="8"/>
        <v/>
      </c>
      <c r="S209" s="242" t="str">
        <f t="shared" si="9"/>
        <v/>
      </c>
      <c r="T209" s="242" t="str">
        <f t="shared" si="10"/>
        <v/>
      </c>
      <c r="U209" s="242" t="str">
        <f t="shared" si="11"/>
        <v/>
      </c>
      <c r="V209" s="7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</row>
    <row r="210" ht="14.25" customHeight="1">
      <c r="A210" s="2"/>
      <c r="B210" s="2"/>
      <c r="C210" s="2"/>
      <c r="D210" s="2"/>
      <c r="E210" s="2"/>
      <c r="F210" s="2"/>
      <c r="G210" s="2"/>
      <c r="H210" s="125">
        <f t="shared" si="20"/>
        <v>194</v>
      </c>
      <c r="I210" s="97">
        <f t="shared" si="18"/>
        <v>4289.139272</v>
      </c>
      <c r="J210" s="97">
        <f t="shared" si="19"/>
        <v>2202.115578</v>
      </c>
      <c r="K210" s="97">
        <f t="shared" si="4"/>
        <v>2087.023693</v>
      </c>
      <c r="L210" s="97">
        <f t="shared" si="16"/>
        <v>519562.0099</v>
      </c>
      <c r="M210" s="97">
        <f t="shared" si="17"/>
        <v>297937.9901</v>
      </c>
      <c r="N210" s="235">
        <f t="shared" si="5"/>
        <v>534146.8265</v>
      </c>
      <c r="O210" s="241" t="str">
        <f t="shared" si="14"/>
        <v/>
      </c>
      <c r="P210" s="242" t="str">
        <f t="shared" si="6"/>
        <v/>
      </c>
      <c r="Q210" s="242" t="str">
        <f t="shared" si="7"/>
        <v/>
      </c>
      <c r="R210" s="242" t="str">
        <f t="shared" si="8"/>
        <v/>
      </c>
      <c r="S210" s="242" t="str">
        <f t="shared" si="9"/>
        <v/>
      </c>
      <c r="T210" s="242" t="str">
        <f t="shared" si="10"/>
        <v/>
      </c>
      <c r="U210" s="242" t="str">
        <f t="shared" si="11"/>
        <v/>
      </c>
      <c r="V210" s="7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</row>
    <row r="211" ht="14.25" customHeight="1">
      <c r="A211" s="2"/>
      <c r="B211" s="2"/>
      <c r="C211" s="2"/>
      <c r="D211" s="2"/>
      <c r="E211" s="2"/>
      <c r="F211" s="2"/>
      <c r="G211" s="2"/>
      <c r="H211" s="125">
        <f t="shared" si="20"/>
        <v>195</v>
      </c>
      <c r="I211" s="97">
        <f t="shared" si="18"/>
        <v>4289.139272</v>
      </c>
      <c r="J211" s="97">
        <f t="shared" si="19"/>
        <v>2210.924041</v>
      </c>
      <c r="K211" s="97">
        <f t="shared" si="4"/>
        <v>2078.215231</v>
      </c>
      <c r="L211" s="97">
        <f t="shared" si="16"/>
        <v>517351.0858</v>
      </c>
      <c r="M211" s="97">
        <f t="shared" si="17"/>
        <v>300148.9142</v>
      </c>
      <c r="N211" s="235">
        <f t="shared" si="5"/>
        <v>536225.0417</v>
      </c>
      <c r="O211" s="241" t="str">
        <f t="shared" si="14"/>
        <v/>
      </c>
      <c r="P211" s="242" t="str">
        <f t="shared" si="6"/>
        <v/>
      </c>
      <c r="Q211" s="242" t="str">
        <f t="shared" si="7"/>
        <v/>
      </c>
      <c r="R211" s="242" t="str">
        <f t="shared" si="8"/>
        <v/>
      </c>
      <c r="S211" s="242" t="str">
        <f t="shared" si="9"/>
        <v/>
      </c>
      <c r="T211" s="242" t="str">
        <f t="shared" si="10"/>
        <v/>
      </c>
      <c r="U211" s="242" t="str">
        <f t="shared" si="11"/>
        <v/>
      </c>
      <c r="V211" s="7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</row>
    <row r="212" ht="14.25" customHeight="1">
      <c r="A212" s="2"/>
      <c r="B212" s="2"/>
      <c r="C212" s="2"/>
      <c r="D212" s="2"/>
      <c r="E212" s="2"/>
      <c r="F212" s="2"/>
      <c r="G212" s="2"/>
      <c r="H212" s="125">
        <f t="shared" si="20"/>
        <v>196</v>
      </c>
      <c r="I212" s="97">
        <f t="shared" si="18"/>
        <v>4289.139272</v>
      </c>
      <c r="J212" s="97">
        <f t="shared" si="19"/>
        <v>2219.767737</v>
      </c>
      <c r="K212" s="97">
        <f t="shared" si="4"/>
        <v>2069.371535</v>
      </c>
      <c r="L212" s="97">
        <f t="shared" si="16"/>
        <v>515131.3181</v>
      </c>
      <c r="M212" s="97">
        <f t="shared" si="17"/>
        <v>302368.6819</v>
      </c>
      <c r="N212" s="235">
        <f t="shared" si="5"/>
        <v>538294.4132</v>
      </c>
      <c r="O212" s="241" t="str">
        <f t="shared" si="14"/>
        <v/>
      </c>
      <c r="P212" s="242" t="str">
        <f t="shared" si="6"/>
        <v/>
      </c>
      <c r="Q212" s="242" t="str">
        <f t="shared" si="7"/>
        <v/>
      </c>
      <c r="R212" s="242" t="str">
        <f t="shared" si="8"/>
        <v/>
      </c>
      <c r="S212" s="242" t="str">
        <f t="shared" si="9"/>
        <v/>
      </c>
      <c r="T212" s="242" t="str">
        <f t="shared" si="10"/>
        <v/>
      </c>
      <c r="U212" s="242" t="str">
        <f t="shared" si="11"/>
        <v/>
      </c>
      <c r="V212" s="7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</row>
    <row r="213" ht="14.25" customHeight="1">
      <c r="A213" s="2"/>
      <c r="B213" s="2"/>
      <c r="C213" s="2"/>
      <c r="D213" s="2"/>
      <c r="E213" s="2"/>
      <c r="F213" s="2"/>
      <c r="G213" s="2"/>
      <c r="H213" s="125">
        <f t="shared" si="20"/>
        <v>197</v>
      </c>
      <c r="I213" s="97">
        <f t="shared" si="18"/>
        <v>4289.139272</v>
      </c>
      <c r="J213" s="97">
        <f t="shared" si="19"/>
        <v>2228.646808</v>
      </c>
      <c r="K213" s="97">
        <f t="shared" si="4"/>
        <v>2060.492464</v>
      </c>
      <c r="L213" s="97">
        <f t="shared" si="16"/>
        <v>512902.6713</v>
      </c>
      <c r="M213" s="97">
        <f t="shared" si="17"/>
        <v>304597.3287</v>
      </c>
      <c r="N213" s="235">
        <f t="shared" si="5"/>
        <v>540354.9057</v>
      </c>
      <c r="O213" s="241" t="str">
        <f t="shared" si="14"/>
        <v/>
      </c>
      <c r="P213" s="242" t="str">
        <f t="shared" si="6"/>
        <v/>
      </c>
      <c r="Q213" s="242" t="str">
        <f t="shared" si="7"/>
        <v/>
      </c>
      <c r="R213" s="242" t="str">
        <f t="shared" si="8"/>
        <v/>
      </c>
      <c r="S213" s="242" t="str">
        <f t="shared" si="9"/>
        <v/>
      </c>
      <c r="T213" s="242" t="str">
        <f t="shared" si="10"/>
        <v/>
      </c>
      <c r="U213" s="242" t="str">
        <f t="shared" si="11"/>
        <v/>
      </c>
      <c r="V213" s="7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</row>
    <row r="214" ht="14.25" customHeight="1">
      <c r="A214" s="2"/>
      <c r="B214" s="2"/>
      <c r="C214" s="2"/>
      <c r="D214" s="2"/>
      <c r="E214" s="2"/>
      <c r="F214" s="2"/>
      <c r="G214" s="2"/>
      <c r="H214" s="125">
        <f t="shared" si="20"/>
        <v>198</v>
      </c>
      <c r="I214" s="97">
        <f t="shared" si="18"/>
        <v>4289.139272</v>
      </c>
      <c r="J214" s="97">
        <f t="shared" si="19"/>
        <v>2237.561395</v>
      </c>
      <c r="K214" s="97">
        <f t="shared" si="4"/>
        <v>2051.577877</v>
      </c>
      <c r="L214" s="97">
        <f t="shared" si="16"/>
        <v>510665.1099</v>
      </c>
      <c r="M214" s="97">
        <f t="shared" si="17"/>
        <v>306834.8901</v>
      </c>
      <c r="N214" s="235">
        <f t="shared" si="5"/>
        <v>542406.4836</v>
      </c>
      <c r="O214" s="241" t="str">
        <f t="shared" si="14"/>
        <v/>
      </c>
      <c r="P214" s="242" t="str">
        <f t="shared" si="6"/>
        <v/>
      </c>
      <c r="Q214" s="242" t="str">
        <f t="shared" si="7"/>
        <v/>
      </c>
      <c r="R214" s="242" t="str">
        <f t="shared" si="8"/>
        <v/>
      </c>
      <c r="S214" s="242" t="str">
        <f t="shared" si="9"/>
        <v/>
      </c>
      <c r="T214" s="242" t="str">
        <f t="shared" si="10"/>
        <v/>
      </c>
      <c r="U214" s="242" t="str">
        <f t="shared" si="11"/>
        <v/>
      </c>
      <c r="V214" s="7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</row>
    <row r="215" ht="14.25" customHeight="1">
      <c r="A215" s="2"/>
      <c r="B215" s="2"/>
      <c r="C215" s="2"/>
      <c r="D215" s="2"/>
      <c r="E215" s="2"/>
      <c r="F215" s="2"/>
      <c r="G215" s="2"/>
      <c r="H215" s="125">
        <f t="shared" si="20"/>
        <v>199</v>
      </c>
      <c r="I215" s="97">
        <f t="shared" si="18"/>
        <v>4289.139272</v>
      </c>
      <c r="J215" s="97">
        <f t="shared" si="19"/>
        <v>2246.511641</v>
      </c>
      <c r="K215" s="97">
        <f t="shared" si="4"/>
        <v>2042.627631</v>
      </c>
      <c r="L215" s="97">
        <f t="shared" si="16"/>
        <v>508418.5982</v>
      </c>
      <c r="M215" s="97">
        <f t="shared" si="17"/>
        <v>309081.4018</v>
      </c>
      <c r="N215" s="235">
        <f t="shared" si="5"/>
        <v>544449.1112</v>
      </c>
      <c r="O215" s="241" t="str">
        <f t="shared" si="14"/>
        <v/>
      </c>
      <c r="P215" s="242" t="str">
        <f t="shared" si="6"/>
        <v/>
      </c>
      <c r="Q215" s="242" t="str">
        <f t="shared" si="7"/>
        <v/>
      </c>
      <c r="R215" s="242" t="str">
        <f t="shared" si="8"/>
        <v/>
      </c>
      <c r="S215" s="242" t="str">
        <f t="shared" si="9"/>
        <v/>
      </c>
      <c r="T215" s="242" t="str">
        <f t="shared" si="10"/>
        <v/>
      </c>
      <c r="U215" s="242" t="str">
        <f t="shared" si="11"/>
        <v/>
      </c>
      <c r="V215" s="7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</row>
    <row r="216" ht="14.25" customHeight="1">
      <c r="A216" s="2"/>
      <c r="B216" s="2"/>
      <c r="C216" s="2"/>
      <c r="D216" s="2"/>
      <c r="E216" s="2"/>
      <c r="F216" s="2"/>
      <c r="G216" s="2"/>
      <c r="H216" s="125">
        <f t="shared" si="20"/>
        <v>200</v>
      </c>
      <c r="I216" s="97">
        <f t="shared" si="18"/>
        <v>4289.139272</v>
      </c>
      <c r="J216" s="97">
        <f t="shared" si="19"/>
        <v>2255.497687</v>
      </c>
      <c r="K216" s="97">
        <f t="shared" si="4"/>
        <v>2033.641585</v>
      </c>
      <c r="L216" s="97">
        <f t="shared" si="16"/>
        <v>506163.1005</v>
      </c>
      <c r="M216" s="97">
        <f t="shared" si="17"/>
        <v>311336.8995</v>
      </c>
      <c r="N216" s="235">
        <f t="shared" si="5"/>
        <v>546482.7528</v>
      </c>
      <c r="O216" s="241" t="str">
        <f t="shared" si="14"/>
        <v/>
      </c>
      <c r="P216" s="242" t="str">
        <f t="shared" si="6"/>
        <v/>
      </c>
      <c r="Q216" s="242" t="str">
        <f t="shared" si="7"/>
        <v/>
      </c>
      <c r="R216" s="242" t="str">
        <f t="shared" si="8"/>
        <v/>
      </c>
      <c r="S216" s="242" t="str">
        <f t="shared" si="9"/>
        <v/>
      </c>
      <c r="T216" s="242" t="str">
        <f t="shared" si="10"/>
        <v/>
      </c>
      <c r="U216" s="242" t="str">
        <f t="shared" si="11"/>
        <v/>
      </c>
      <c r="V216" s="7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</row>
    <row r="217" ht="14.25" customHeight="1">
      <c r="A217" s="2"/>
      <c r="B217" s="2"/>
      <c r="C217" s="2"/>
      <c r="D217" s="2"/>
      <c r="E217" s="2"/>
      <c r="F217" s="2"/>
      <c r="G217" s="2"/>
      <c r="H217" s="125">
        <f t="shared" si="20"/>
        <v>201</v>
      </c>
      <c r="I217" s="97">
        <f t="shared" si="18"/>
        <v>4289.139272</v>
      </c>
      <c r="J217" s="97">
        <f t="shared" si="19"/>
        <v>2264.519678</v>
      </c>
      <c r="K217" s="97">
        <f t="shared" si="4"/>
        <v>2024.619594</v>
      </c>
      <c r="L217" s="97">
        <f t="shared" si="16"/>
        <v>503898.5809</v>
      </c>
      <c r="M217" s="97">
        <f t="shared" si="17"/>
        <v>313601.4191</v>
      </c>
      <c r="N217" s="235">
        <f t="shared" si="5"/>
        <v>548507.3724</v>
      </c>
      <c r="O217" s="241" t="str">
        <f t="shared" si="14"/>
        <v/>
      </c>
      <c r="P217" s="242" t="str">
        <f t="shared" si="6"/>
        <v/>
      </c>
      <c r="Q217" s="242" t="str">
        <f t="shared" si="7"/>
        <v/>
      </c>
      <c r="R217" s="242" t="str">
        <f t="shared" si="8"/>
        <v/>
      </c>
      <c r="S217" s="242" t="str">
        <f t="shared" si="9"/>
        <v/>
      </c>
      <c r="T217" s="242" t="str">
        <f t="shared" si="10"/>
        <v/>
      </c>
      <c r="U217" s="242" t="str">
        <f t="shared" si="11"/>
        <v/>
      </c>
      <c r="V217" s="7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</row>
    <row r="218" ht="14.25" customHeight="1">
      <c r="A218" s="2"/>
      <c r="B218" s="2"/>
      <c r="C218" s="2"/>
      <c r="D218" s="2"/>
      <c r="E218" s="2"/>
      <c r="F218" s="2"/>
      <c r="G218" s="2"/>
      <c r="H218" s="125">
        <f t="shared" si="20"/>
        <v>202</v>
      </c>
      <c r="I218" s="97">
        <f t="shared" si="18"/>
        <v>4289.139272</v>
      </c>
      <c r="J218" s="97">
        <f t="shared" si="19"/>
        <v>2273.577757</v>
      </c>
      <c r="K218" s="97">
        <f t="shared" si="4"/>
        <v>2015.561515</v>
      </c>
      <c r="L218" s="97">
        <f t="shared" si="16"/>
        <v>501625.0031</v>
      </c>
      <c r="M218" s="97">
        <f t="shared" si="17"/>
        <v>315874.9969</v>
      </c>
      <c r="N218" s="235">
        <f t="shared" si="5"/>
        <v>550522.9339</v>
      </c>
      <c r="O218" s="241" t="str">
        <f t="shared" si="14"/>
        <v/>
      </c>
      <c r="P218" s="242" t="str">
        <f t="shared" si="6"/>
        <v/>
      </c>
      <c r="Q218" s="242" t="str">
        <f t="shared" si="7"/>
        <v/>
      </c>
      <c r="R218" s="242" t="str">
        <f t="shared" si="8"/>
        <v/>
      </c>
      <c r="S218" s="242" t="str">
        <f t="shared" si="9"/>
        <v/>
      </c>
      <c r="T218" s="242" t="str">
        <f t="shared" si="10"/>
        <v/>
      </c>
      <c r="U218" s="242" t="str">
        <f t="shared" si="11"/>
        <v/>
      </c>
      <c r="V218" s="7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</row>
    <row r="219" ht="14.25" customHeight="1">
      <c r="A219" s="2"/>
      <c r="B219" s="2"/>
      <c r="C219" s="2"/>
      <c r="D219" s="2"/>
      <c r="E219" s="2"/>
      <c r="F219" s="2"/>
      <c r="G219" s="2"/>
      <c r="H219" s="125">
        <f t="shared" si="20"/>
        <v>203</v>
      </c>
      <c r="I219" s="97">
        <f t="shared" si="18"/>
        <v>4289.139272</v>
      </c>
      <c r="J219" s="97">
        <f t="shared" si="19"/>
        <v>2282.672068</v>
      </c>
      <c r="K219" s="97">
        <f t="shared" si="4"/>
        <v>2006.467204</v>
      </c>
      <c r="L219" s="97">
        <f t="shared" si="16"/>
        <v>499342.331</v>
      </c>
      <c r="M219" s="97">
        <f t="shared" si="17"/>
        <v>318157.669</v>
      </c>
      <c r="N219" s="235">
        <f t="shared" si="5"/>
        <v>552529.4011</v>
      </c>
      <c r="O219" s="241" t="str">
        <f t="shared" si="14"/>
        <v/>
      </c>
      <c r="P219" s="242" t="str">
        <f t="shared" si="6"/>
        <v/>
      </c>
      <c r="Q219" s="242" t="str">
        <f t="shared" si="7"/>
        <v/>
      </c>
      <c r="R219" s="242" t="str">
        <f t="shared" si="8"/>
        <v/>
      </c>
      <c r="S219" s="242" t="str">
        <f t="shared" si="9"/>
        <v/>
      </c>
      <c r="T219" s="242" t="str">
        <f t="shared" si="10"/>
        <v/>
      </c>
      <c r="U219" s="242" t="str">
        <f t="shared" si="11"/>
        <v/>
      </c>
      <c r="V219" s="7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</row>
    <row r="220" ht="14.25" customHeight="1">
      <c r="A220" s="2"/>
      <c r="B220" s="2"/>
      <c r="C220" s="2"/>
      <c r="D220" s="2"/>
      <c r="E220" s="2"/>
      <c r="F220" s="2"/>
      <c r="G220" s="2"/>
      <c r="H220" s="125">
        <f t="shared" si="20"/>
        <v>204</v>
      </c>
      <c r="I220" s="97">
        <f t="shared" si="18"/>
        <v>4289.139272</v>
      </c>
      <c r="J220" s="97">
        <f t="shared" si="19"/>
        <v>2291.802756</v>
      </c>
      <c r="K220" s="97">
        <f t="shared" si="4"/>
        <v>1997.336516</v>
      </c>
      <c r="L220" s="97">
        <f t="shared" si="16"/>
        <v>497050.5283</v>
      </c>
      <c r="M220" s="97">
        <f t="shared" si="17"/>
        <v>320449.4717</v>
      </c>
      <c r="N220" s="235">
        <f t="shared" si="5"/>
        <v>554526.7376</v>
      </c>
      <c r="O220" s="241" t="str">
        <f t="shared" si="14"/>
        <v/>
      </c>
      <c r="P220" s="242" t="str">
        <f t="shared" si="6"/>
        <v/>
      </c>
      <c r="Q220" s="242" t="str">
        <f t="shared" si="7"/>
        <v/>
      </c>
      <c r="R220" s="242" t="str">
        <f t="shared" si="8"/>
        <v/>
      </c>
      <c r="S220" s="242" t="str">
        <f t="shared" si="9"/>
        <v/>
      </c>
      <c r="T220" s="242" t="str">
        <f t="shared" si="10"/>
        <v/>
      </c>
      <c r="U220" s="242" t="str">
        <f t="shared" si="11"/>
        <v/>
      </c>
      <c r="V220" s="7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</row>
    <row r="221" ht="14.25" customHeight="1">
      <c r="A221" s="2"/>
      <c r="B221" s="2"/>
      <c r="C221" s="2"/>
      <c r="D221" s="2"/>
      <c r="E221" s="2"/>
      <c r="F221" s="2"/>
      <c r="G221" s="2"/>
      <c r="H221" s="125">
        <f t="shared" si="20"/>
        <v>205</v>
      </c>
      <c r="I221" s="97">
        <f t="shared" si="18"/>
        <v>4289.139272</v>
      </c>
      <c r="J221" s="97">
        <f t="shared" si="19"/>
        <v>2300.969967</v>
      </c>
      <c r="K221" s="97">
        <f t="shared" si="4"/>
        <v>1988.169305</v>
      </c>
      <c r="L221" s="97">
        <f t="shared" si="16"/>
        <v>494749.5583</v>
      </c>
      <c r="M221" s="97">
        <f t="shared" si="17"/>
        <v>322750.4417</v>
      </c>
      <c r="N221" s="235">
        <f t="shared" si="5"/>
        <v>556514.9069</v>
      </c>
      <c r="O221" s="241" t="str">
        <f t="shared" si="14"/>
        <v/>
      </c>
      <c r="P221" s="242" t="str">
        <f t="shared" si="6"/>
        <v/>
      </c>
      <c r="Q221" s="242" t="str">
        <f t="shared" si="7"/>
        <v/>
      </c>
      <c r="R221" s="242" t="str">
        <f t="shared" si="8"/>
        <v/>
      </c>
      <c r="S221" s="242" t="str">
        <f t="shared" si="9"/>
        <v/>
      </c>
      <c r="T221" s="242" t="str">
        <f t="shared" si="10"/>
        <v/>
      </c>
      <c r="U221" s="242" t="str">
        <f t="shared" si="11"/>
        <v/>
      </c>
      <c r="V221" s="7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</row>
    <row r="222" ht="14.25" customHeight="1">
      <c r="A222" s="2"/>
      <c r="B222" s="2"/>
      <c r="C222" s="2"/>
      <c r="D222" s="2"/>
      <c r="E222" s="2"/>
      <c r="F222" s="2"/>
      <c r="G222" s="2"/>
      <c r="H222" s="125">
        <f t="shared" si="20"/>
        <v>206</v>
      </c>
      <c r="I222" s="97">
        <f t="shared" si="18"/>
        <v>4289.139272</v>
      </c>
      <c r="J222" s="97">
        <f t="shared" si="19"/>
        <v>2310.173847</v>
      </c>
      <c r="K222" s="97">
        <f t="shared" si="4"/>
        <v>1978.965425</v>
      </c>
      <c r="L222" s="97">
        <f t="shared" si="16"/>
        <v>492439.3845</v>
      </c>
      <c r="M222" s="97">
        <f t="shared" si="17"/>
        <v>325060.6155</v>
      </c>
      <c r="N222" s="235">
        <f t="shared" si="5"/>
        <v>558493.8724</v>
      </c>
      <c r="O222" s="241" t="str">
        <f t="shared" si="14"/>
        <v/>
      </c>
      <c r="P222" s="242" t="str">
        <f t="shared" si="6"/>
        <v/>
      </c>
      <c r="Q222" s="242" t="str">
        <f t="shared" si="7"/>
        <v/>
      </c>
      <c r="R222" s="242" t="str">
        <f t="shared" si="8"/>
        <v/>
      </c>
      <c r="S222" s="242" t="str">
        <f t="shared" si="9"/>
        <v/>
      </c>
      <c r="T222" s="242" t="str">
        <f t="shared" si="10"/>
        <v/>
      </c>
      <c r="U222" s="242" t="str">
        <f t="shared" si="11"/>
        <v/>
      </c>
      <c r="V222" s="7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</row>
    <row r="223" ht="14.25" customHeight="1">
      <c r="A223" s="2"/>
      <c r="B223" s="2"/>
      <c r="C223" s="2"/>
      <c r="D223" s="2"/>
      <c r="E223" s="2"/>
      <c r="F223" s="2"/>
      <c r="G223" s="2"/>
      <c r="H223" s="125">
        <f t="shared" si="20"/>
        <v>207</v>
      </c>
      <c r="I223" s="97">
        <f t="shared" si="18"/>
        <v>4289.139272</v>
      </c>
      <c r="J223" s="97">
        <f t="shared" si="19"/>
        <v>2319.414542</v>
      </c>
      <c r="K223" s="97">
        <f t="shared" si="4"/>
        <v>1969.72473</v>
      </c>
      <c r="L223" s="97">
        <f t="shared" si="16"/>
        <v>490119.9699</v>
      </c>
      <c r="M223" s="97">
        <f t="shared" si="17"/>
        <v>327380.0301</v>
      </c>
      <c r="N223" s="235">
        <f t="shared" si="5"/>
        <v>560463.5971</v>
      </c>
      <c r="O223" s="241" t="str">
        <f t="shared" si="14"/>
        <v/>
      </c>
      <c r="P223" s="242" t="str">
        <f t="shared" si="6"/>
        <v/>
      </c>
      <c r="Q223" s="242" t="str">
        <f t="shared" si="7"/>
        <v/>
      </c>
      <c r="R223" s="242" t="str">
        <f t="shared" si="8"/>
        <v/>
      </c>
      <c r="S223" s="242" t="str">
        <f t="shared" si="9"/>
        <v/>
      </c>
      <c r="T223" s="242" t="str">
        <f t="shared" si="10"/>
        <v/>
      </c>
      <c r="U223" s="242" t="str">
        <f t="shared" si="11"/>
        <v/>
      </c>
      <c r="V223" s="7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</row>
    <row r="224" ht="14.25" customHeight="1">
      <c r="A224" s="2"/>
      <c r="B224" s="2"/>
      <c r="C224" s="2"/>
      <c r="D224" s="2"/>
      <c r="E224" s="2"/>
      <c r="F224" s="2"/>
      <c r="G224" s="2"/>
      <c r="H224" s="125">
        <f t="shared" si="20"/>
        <v>208</v>
      </c>
      <c r="I224" s="97">
        <f t="shared" si="18"/>
        <v>4289.139272</v>
      </c>
      <c r="J224" s="97">
        <f t="shared" si="19"/>
        <v>2328.6922</v>
      </c>
      <c r="K224" s="97">
        <f t="shared" si="4"/>
        <v>1960.447071</v>
      </c>
      <c r="L224" s="97">
        <f t="shared" si="16"/>
        <v>487791.2777</v>
      </c>
      <c r="M224" s="97">
        <f t="shared" si="17"/>
        <v>329708.7223</v>
      </c>
      <c r="N224" s="235">
        <f t="shared" si="5"/>
        <v>562424.0442</v>
      </c>
      <c r="O224" s="241" t="str">
        <f t="shared" si="14"/>
        <v/>
      </c>
      <c r="P224" s="242" t="str">
        <f t="shared" si="6"/>
        <v/>
      </c>
      <c r="Q224" s="242" t="str">
        <f t="shared" si="7"/>
        <v/>
      </c>
      <c r="R224" s="242" t="str">
        <f t="shared" si="8"/>
        <v/>
      </c>
      <c r="S224" s="242" t="str">
        <f t="shared" si="9"/>
        <v/>
      </c>
      <c r="T224" s="242" t="str">
        <f t="shared" si="10"/>
        <v/>
      </c>
      <c r="U224" s="242" t="str">
        <f t="shared" si="11"/>
        <v/>
      </c>
      <c r="V224" s="7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</row>
    <row r="225" ht="14.25" customHeight="1">
      <c r="A225" s="2"/>
      <c r="B225" s="2"/>
      <c r="C225" s="2"/>
      <c r="D225" s="2"/>
      <c r="E225" s="2"/>
      <c r="F225" s="2"/>
      <c r="G225" s="2"/>
      <c r="H225" s="125">
        <f t="shared" si="20"/>
        <v>209</v>
      </c>
      <c r="I225" s="97">
        <f t="shared" si="18"/>
        <v>4289.139272</v>
      </c>
      <c r="J225" s="97">
        <f t="shared" si="19"/>
        <v>2338.006969</v>
      </c>
      <c r="K225" s="97">
        <f t="shared" si="4"/>
        <v>1951.132303</v>
      </c>
      <c r="L225" s="97">
        <f t="shared" si="16"/>
        <v>485453.2708</v>
      </c>
      <c r="M225" s="97">
        <f t="shared" si="17"/>
        <v>332046.7292</v>
      </c>
      <c r="N225" s="235">
        <f t="shared" si="5"/>
        <v>564375.1765</v>
      </c>
      <c r="O225" s="241" t="str">
        <f t="shared" si="14"/>
        <v/>
      </c>
      <c r="P225" s="242" t="str">
        <f t="shared" si="6"/>
        <v/>
      </c>
      <c r="Q225" s="242" t="str">
        <f t="shared" si="7"/>
        <v/>
      </c>
      <c r="R225" s="242" t="str">
        <f t="shared" si="8"/>
        <v/>
      </c>
      <c r="S225" s="242" t="str">
        <f t="shared" si="9"/>
        <v/>
      </c>
      <c r="T225" s="242" t="str">
        <f t="shared" si="10"/>
        <v/>
      </c>
      <c r="U225" s="242" t="str">
        <f t="shared" si="11"/>
        <v/>
      </c>
      <c r="V225" s="7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</row>
    <row r="226" ht="14.25" customHeight="1">
      <c r="A226" s="2"/>
      <c r="B226" s="2"/>
      <c r="C226" s="2"/>
      <c r="D226" s="2"/>
      <c r="E226" s="2"/>
      <c r="F226" s="2"/>
      <c r="G226" s="2"/>
      <c r="H226" s="125">
        <f t="shared" si="20"/>
        <v>210</v>
      </c>
      <c r="I226" s="97">
        <f t="shared" si="18"/>
        <v>4289.139272</v>
      </c>
      <c r="J226" s="97">
        <f t="shared" si="19"/>
        <v>2347.358997</v>
      </c>
      <c r="K226" s="97">
        <f t="shared" si="4"/>
        <v>1941.780275</v>
      </c>
      <c r="L226" s="97">
        <f t="shared" si="16"/>
        <v>483105.9118</v>
      </c>
      <c r="M226" s="97">
        <f t="shared" si="17"/>
        <v>334394.0882</v>
      </c>
      <c r="N226" s="235">
        <f t="shared" si="5"/>
        <v>566316.9567</v>
      </c>
      <c r="O226" s="241" t="str">
        <f t="shared" si="14"/>
        <v/>
      </c>
      <c r="P226" s="242" t="str">
        <f t="shared" si="6"/>
        <v/>
      </c>
      <c r="Q226" s="242" t="str">
        <f t="shared" si="7"/>
        <v/>
      </c>
      <c r="R226" s="242" t="str">
        <f t="shared" si="8"/>
        <v/>
      </c>
      <c r="S226" s="242" t="str">
        <f t="shared" si="9"/>
        <v/>
      </c>
      <c r="T226" s="242" t="str">
        <f t="shared" si="10"/>
        <v/>
      </c>
      <c r="U226" s="242" t="str">
        <f t="shared" si="11"/>
        <v/>
      </c>
      <c r="V226" s="7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</row>
    <row r="227" ht="14.25" customHeight="1">
      <c r="A227" s="2"/>
      <c r="B227" s="2"/>
      <c r="C227" s="2"/>
      <c r="D227" s="2"/>
      <c r="E227" s="2"/>
      <c r="F227" s="2"/>
      <c r="G227" s="2"/>
      <c r="H227" s="125">
        <f t="shared" si="20"/>
        <v>211</v>
      </c>
      <c r="I227" s="97">
        <f t="shared" si="18"/>
        <v>4289.139272</v>
      </c>
      <c r="J227" s="97">
        <f t="shared" si="19"/>
        <v>2356.748433</v>
      </c>
      <c r="K227" s="97">
        <f t="shared" si="4"/>
        <v>1932.390839</v>
      </c>
      <c r="L227" s="97">
        <f t="shared" si="16"/>
        <v>480749.1633</v>
      </c>
      <c r="M227" s="97">
        <f t="shared" si="17"/>
        <v>336750.8367</v>
      </c>
      <c r="N227" s="235">
        <f t="shared" si="5"/>
        <v>568249.3476</v>
      </c>
      <c r="O227" s="241" t="str">
        <f t="shared" si="14"/>
        <v/>
      </c>
      <c r="P227" s="242" t="str">
        <f t="shared" si="6"/>
        <v/>
      </c>
      <c r="Q227" s="242" t="str">
        <f t="shared" si="7"/>
        <v/>
      </c>
      <c r="R227" s="242" t="str">
        <f t="shared" si="8"/>
        <v/>
      </c>
      <c r="S227" s="242" t="str">
        <f t="shared" si="9"/>
        <v/>
      </c>
      <c r="T227" s="242" t="str">
        <f t="shared" si="10"/>
        <v/>
      </c>
      <c r="U227" s="242" t="str">
        <f t="shared" si="11"/>
        <v/>
      </c>
      <c r="V227" s="7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</row>
    <row r="228" ht="14.25" customHeight="1">
      <c r="A228" s="2"/>
      <c r="B228" s="2"/>
      <c r="C228" s="2"/>
      <c r="D228" s="2"/>
      <c r="E228" s="2"/>
      <c r="F228" s="2"/>
      <c r="G228" s="2"/>
      <c r="H228" s="125">
        <f t="shared" si="20"/>
        <v>212</v>
      </c>
      <c r="I228" s="97">
        <f t="shared" si="18"/>
        <v>4289.139272</v>
      </c>
      <c r="J228" s="97">
        <f t="shared" si="19"/>
        <v>2366.175427</v>
      </c>
      <c r="K228" s="97">
        <f t="shared" si="4"/>
        <v>1922.963845</v>
      </c>
      <c r="L228" s="97">
        <f t="shared" si="16"/>
        <v>478382.9879</v>
      </c>
      <c r="M228" s="97">
        <f t="shared" si="17"/>
        <v>339117.0121</v>
      </c>
      <c r="N228" s="235">
        <f t="shared" si="5"/>
        <v>570172.3114</v>
      </c>
      <c r="O228" s="241" t="str">
        <f t="shared" si="14"/>
        <v/>
      </c>
      <c r="P228" s="242" t="str">
        <f t="shared" si="6"/>
        <v/>
      </c>
      <c r="Q228" s="242" t="str">
        <f t="shared" si="7"/>
        <v/>
      </c>
      <c r="R228" s="242" t="str">
        <f t="shared" si="8"/>
        <v/>
      </c>
      <c r="S228" s="242" t="str">
        <f t="shared" si="9"/>
        <v/>
      </c>
      <c r="T228" s="242" t="str">
        <f t="shared" si="10"/>
        <v/>
      </c>
      <c r="U228" s="242" t="str">
        <f t="shared" si="11"/>
        <v/>
      </c>
      <c r="V228" s="7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</row>
    <row r="229" ht="14.25" customHeight="1">
      <c r="A229" s="2"/>
      <c r="B229" s="2"/>
      <c r="C229" s="2"/>
      <c r="D229" s="2"/>
      <c r="E229" s="2"/>
      <c r="F229" s="2"/>
      <c r="G229" s="2"/>
      <c r="H229" s="125">
        <f t="shared" si="20"/>
        <v>213</v>
      </c>
      <c r="I229" s="97">
        <f t="shared" si="18"/>
        <v>4289.139272</v>
      </c>
      <c r="J229" s="97">
        <f t="shared" si="19"/>
        <v>2375.640129</v>
      </c>
      <c r="K229" s="97">
        <f t="shared" si="4"/>
        <v>1913.499143</v>
      </c>
      <c r="L229" s="97">
        <f t="shared" si="16"/>
        <v>476007.3478</v>
      </c>
      <c r="M229" s="97">
        <f t="shared" si="17"/>
        <v>341492.6522</v>
      </c>
      <c r="N229" s="235">
        <f t="shared" si="5"/>
        <v>572085.8106</v>
      </c>
      <c r="O229" s="241" t="str">
        <f t="shared" si="14"/>
        <v/>
      </c>
      <c r="P229" s="242" t="str">
        <f t="shared" si="6"/>
        <v/>
      </c>
      <c r="Q229" s="242" t="str">
        <f t="shared" si="7"/>
        <v/>
      </c>
      <c r="R229" s="242" t="str">
        <f t="shared" si="8"/>
        <v/>
      </c>
      <c r="S229" s="242" t="str">
        <f t="shared" si="9"/>
        <v/>
      </c>
      <c r="T229" s="242" t="str">
        <f t="shared" si="10"/>
        <v/>
      </c>
      <c r="U229" s="242" t="str">
        <f t="shared" si="11"/>
        <v/>
      </c>
      <c r="V229" s="7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</row>
    <row r="230" ht="14.25" customHeight="1">
      <c r="A230" s="2"/>
      <c r="B230" s="2"/>
      <c r="C230" s="2"/>
      <c r="D230" s="2"/>
      <c r="E230" s="2"/>
      <c r="F230" s="2"/>
      <c r="G230" s="2"/>
      <c r="H230" s="125">
        <f t="shared" si="20"/>
        <v>214</v>
      </c>
      <c r="I230" s="97">
        <f t="shared" si="18"/>
        <v>4289.139272</v>
      </c>
      <c r="J230" s="97">
        <f t="shared" si="19"/>
        <v>2385.142689</v>
      </c>
      <c r="K230" s="97">
        <f t="shared" si="4"/>
        <v>1903.996583</v>
      </c>
      <c r="L230" s="97">
        <f t="shared" si="16"/>
        <v>473622.2051</v>
      </c>
      <c r="M230" s="97">
        <f t="shared" si="17"/>
        <v>343877.7949</v>
      </c>
      <c r="N230" s="235">
        <f t="shared" si="5"/>
        <v>573989.8071</v>
      </c>
      <c r="O230" s="241" t="str">
        <f t="shared" si="14"/>
        <v/>
      </c>
      <c r="P230" s="242" t="str">
        <f t="shared" si="6"/>
        <v/>
      </c>
      <c r="Q230" s="242" t="str">
        <f t="shared" si="7"/>
        <v/>
      </c>
      <c r="R230" s="242" t="str">
        <f t="shared" si="8"/>
        <v/>
      </c>
      <c r="S230" s="242" t="str">
        <f t="shared" si="9"/>
        <v/>
      </c>
      <c r="T230" s="242" t="str">
        <f t="shared" si="10"/>
        <v/>
      </c>
      <c r="U230" s="242" t="str">
        <f t="shared" si="11"/>
        <v/>
      </c>
      <c r="V230" s="7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</row>
    <row r="231" ht="14.25" customHeight="1">
      <c r="A231" s="2"/>
      <c r="B231" s="2"/>
      <c r="C231" s="2"/>
      <c r="D231" s="2"/>
      <c r="E231" s="2"/>
      <c r="F231" s="2"/>
      <c r="G231" s="2"/>
      <c r="H231" s="125">
        <f t="shared" si="20"/>
        <v>215</v>
      </c>
      <c r="I231" s="97">
        <f t="shared" si="18"/>
        <v>4289.139272</v>
      </c>
      <c r="J231" s="97">
        <f t="shared" si="19"/>
        <v>2394.68326</v>
      </c>
      <c r="K231" s="97">
        <f t="shared" si="4"/>
        <v>1894.456012</v>
      </c>
      <c r="L231" s="97">
        <f t="shared" si="16"/>
        <v>471227.5218</v>
      </c>
      <c r="M231" s="97">
        <f t="shared" si="17"/>
        <v>346272.4782</v>
      </c>
      <c r="N231" s="235">
        <f t="shared" si="5"/>
        <v>575884.2632</v>
      </c>
      <c r="O231" s="241" t="str">
        <f t="shared" si="14"/>
        <v/>
      </c>
      <c r="P231" s="242" t="str">
        <f t="shared" si="6"/>
        <v/>
      </c>
      <c r="Q231" s="242" t="str">
        <f t="shared" si="7"/>
        <v/>
      </c>
      <c r="R231" s="242" t="str">
        <f t="shared" si="8"/>
        <v/>
      </c>
      <c r="S231" s="242" t="str">
        <f t="shared" si="9"/>
        <v/>
      </c>
      <c r="T231" s="242" t="str">
        <f t="shared" si="10"/>
        <v/>
      </c>
      <c r="U231" s="242" t="str">
        <f t="shared" si="11"/>
        <v/>
      </c>
      <c r="V231" s="7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</row>
    <row r="232" ht="14.25" customHeight="1">
      <c r="A232" s="2"/>
      <c r="B232" s="2"/>
      <c r="C232" s="2"/>
      <c r="D232" s="2"/>
      <c r="E232" s="2"/>
      <c r="F232" s="2"/>
      <c r="G232" s="2"/>
      <c r="H232" s="125">
        <f t="shared" si="20"/>
        <v>216</v>
      </c>
      <c r="I232" s="97">
        <f t="shared" si="18"/>
        <v>4289.139272</v>
      </c>
      <c r="J232" s="97">
        <f t="shared" si="19"/>
        <v>2404.261993</v>
      </c>
      <c r="K232" s="97">
        <f t="shared" si="4"/>
        <v>1884.877279</v>
      </c>
      <c r="L232" s="97">
        <f t="shared" si="16"/>
        <v>468823.2598</v>
      </c>
      <c r="M232" s="97">
        <f t="shared" si="17"/>
        <v>348676.7402</v>
      </c>
      <c r="N232" s="235">
        <f t="shared" si="5"/>
        <v>577769.1404</v>
      </c>
      <c r="O232" s="241" t="str">
        <f t="shared" si="14"/>
        <v/>
      </c>
      <c r="P232" s="242" t="str">
        <f t="shared" si="6"/>
        <v/>
      </c>
      <c r="Q232" s="242" t="str">
        <f t="shared" si="7"/>
        <v/>
      </c>
      <c r="R232" s="242" t="str">
        <f t="shared" si="8"/>
        <v/>
      </c>
      <c r="S232" s="242" t="str">
        <f t="shared" si="9"/>
        <v/>
      </c>
      <c r="T232" s="242" t="str">
        <f t="shared" si="10"/>
        <v/>
      </c>
      <c r="U232" s="242" t="str">
        <f t="shared" si="11"/>
        <v/>
      </c>
      <c r="V232" s="7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</row>
    <row r="233" ht="14.25" customHeight="1">
      <c r="A233" s="2"/>
      <c r="B233" s="2"/>
      <c r="C233" s="2"/>
      <c r="D233" s="2"/>
      <c r="E233" s="2"/>
      <c r="F233" s="2"/>
      <c r="G233" s="2"/>
      <c r="H233" s="125">
        <f t="shared" si="20"/>
        <v>217</v>
      </c>
      <c r="I233" s="97">
        <f t="shared" si="18"/>
        <v>4289.139272</v>
      </c>
      <c r="J233" s="97">
        <f t="shared" si="19"/>
        <v>2413.879041</v>
      </c>
      <c r="K233" s="97">
        <f t="shared" si="4"/>
        <v>1875.260231</v>
      </c>
      <c r="L233" s="97">
        <f t="shared" si="16"/>
        <v>466409.3808</v>
      </c>
      <c r="M233" s="97">
        <f t="shared" si="17"/>
        <v>351090.6192</v>
      </c>
      <c r="N233" s="235">
        <f t="shared" si="5"/>
        <v>579644.4007</v>
      </c>
      <c r="O233" s="241" t="str">
        <f t="shared" si="14"/>
        <v/>
      </c>
      <c r="P233" s="242" t="str">
        <f t="shared" si="6"/>
        <v/>
      </c>
      <c r="Q233" s="242" t="str">
        <f t="shared" si="7"/>
        <v/>
      </c>
      <c r="R233" s="242" t="str">
        <f t="shared" si="8"/>
        <v/>
      </c>
      <c r="S233" s="242" t="str">
        <f t="shared" si="9"/>
        <v/>
      </c>
      <c r="T233" s="242" t="str">
        <f t="shared" si="10"/>
        <v/>
      </c>
      <c r="U233" s="242" t="str">
        <f t="shared" si="11"/>
        <v/>
      </c>
      <c r="V233" s="7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</row>
    <row r="234" ht="14.25" customHeight="1">
      <c r="A234" s="2"/>
      <c r="B234" s="2"/>
      <c r="C234" s="2"/>
      <c r="D234" s="2"/>
      <c r="E234" s="2"/>
      <c r="F234" s="2"/>
      <c r="G234" s="2"/>
      <c r="H234" s="125">
        <f t="shared" si="20"/>
        <v>218</v>
      </c>
      <c r="I234" s="97">
        <f t="shared" si="18"/>
        <v>4289.139272</v>
      </c>
      <c r="J234" s="97">
        <f t="shared" si="19"/>
        <v>2423.534557</v>
      </c>
      <c r="K234" s="97">
        <f t="shared" si="4"/>
        <v>1865.604715</v>
      </c>
      <c r="L234" s="97">
        <f t="shared" si="16"/>
        <v>463985.8462</v>
      </c>
      <c r="M234" s="97">
        <f t="shared" si="17"/>
        <v>353514.1538</v>
      </c>
      <c r="N234" s="235">
        <f t="shared" si="5"/>
        <v>581510.0054</v>
      </c>
      <c r="O234" s="241" t="str">
        <f t="shared" si="14"/>
        <v/>
      </c>
      <c r="P234" s="242" t="str">
        <f t="shared" si="6"/>
        <v/>
      </c>
      <c r="Q234" s="242" t="str">
        <f t="shared" si="7"/>
        <v/>
      </c>
      <c r="R234" s="242" t="str">
        <f t="shared" si="8"/>
        <v/>
      </c>
      <c r="S234" s="242" t="str">
        <f t="shared" si="9"/>
        <v/>
      </c>
      <c r="T234" s="242" t="str">
        <f t="shared" si="10"/>
        <v/>
      </c>
      <c r="U234" s="242" t="str">
        <f t="shared" si="11"/>
        <v/>
      </c>
      <c r="V234" s="7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</row>
    <row r="235" ht="14.25" customHeight="1">
      <c r="A235" s="2"/>
      <c r="B235" s="2"/>
      <c r="C235" s="2"/>
      <c r="D235" s="2"/>
      <c r="E235" s="2"/>
      <c r="F235" s="2"/>
      <c r="G235" s="2"/>
      <c r="H235" s="125">
        <f t="shared" si="20"/>
        <v>219</v>
      </c>
      <c r="I235" s="97">
        <f t="shared" si="18"/>
        <v>4289.139272</v>
      </c>
      <c r="J235" s="97">
        <f t="shared" si="19"/>
        <v>2433.228695</v>
      </c>
      <c r="K235" s="97">
        <f t="shared" si="4"/>
        <v>1855.910577</v>
      </c>
      <c r="L235" s="97">
        <f t="shared" si="16"/>
        <v>461552.6175</v>
      </c>
      <c r="M235" s="97">
        <f t="shared" si="17"/>
        <v>355947.3825</v>
      </c>
      <c r="N235" s="235">
        <f t="shared" si="5"/>
        <v>583365.916</v>
      </c>
      <c r="O235" s="241" t="str">
        <f t="shared" si="14"/>
        <v/>
      </c>
      <c r="P235" s="242" t="str">
        <f t="shared" si="6"/>
        <v/>
      </c>
      <c r="Q235" s="242" t="str">
        <f t="shared" si="7"/>
        <v/>
      </c>
      <c r="R235" s="242" t="str">
        <f t="shared" si="8"/>
        <v/>
      </c>
      <c r="S235" s="242" t="str">
        <f t="shared" si="9"/>
        <v/>
      </c>
      <c r="T235" s="242" t="str">
        <f t="shared" si="10"/>
        <v/>
      </c>
      <c r="U235" s="242" t="str">
        <f t="shared" si="11"/>
        <v/>
      </c>
      <c r="V235" s="7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</row>
    <row r="236" ht="14.25" customHeight="1">
      <c r="A236" s="2"/>
      <c r="B236" s="2"/>
      <c r="C236" s="2"/>
      <c r="D236" s="2"/>
      <c r="E236" s="2"/>
      <c r="F236" s="2"/>
      <c r="G236" s="2"/>
      <c r="H236" s="125">
        <f t="shared" si="20"/>
        <v>220</v>
      </c>
      <c r="I236" s="97">
        <f t="shared" si="18"/>
        <v>4289.139272</v>
      </c>
      <c r="J236" s="97">
        <f t="shared" si="19"/>
        <v>2442.96161</v>
      </c>
      <c r="K236" s="97">
        <f t="shared" si="4"/>
        <v>1846.177662</v>
      </c>
      <c r="L236" s="97">
        <f t="shared" si="16"/>
        <v>459109.6559</v>
      </c>
      <c r="M236" s="97">
        <f t="shared" si="17"/>
        <v>358390.3441</v>
      </c>
      <c r="N236" s="235">
        <f t="shared" si="5"/>
        <v>585212.0936</v>
      </c>
      <c r="O236" s="241" t="str">
        <f t="shared" si="14"/>
        <v/>
      </c>
      <c r="P236" s="242" t="str">
        <f t="shared" si="6"/>
        <v/>
      </c>
      <c r="Q236" s="242" t="str">
        <f t="shared" si="7"/>
        <v/>
      </c>
      <c r="R236" s="242" t="str">
        <f t="shared" si="8"/>
        <v/>
      </c>
      <c r="S236" s="242" t="str">
        <f t="shared" si="9"/>
        <v/>
      </c>
      <c r="T236" s="242" t="str">
        <f t="shared" si="10"/>
        <v/>
      </c>
      <c r="U236" s="242" t="str">
        <f t="shared" si="11"/>
        <v/>
      </c>
      <c r="V236" s="7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</row>
    <row r="237" ht="14.25" customHeight="1">
      <c r="A237" s="2"/>
      <c r="B237" s="2"/>
      <c r="C237" s="2"/>
      <c r="D237" s="2"/>
      <c r="E237" s="2"/>
      <c r="F237" s="2"/>
      <c r="G237" s="2"/>
      <c r="H237" s="125">
        <f t="shared" si="20"/>
        <v>221</v>
      </c>
      <c r="I237" s="97">
        <f t="shared" si="18"/>
        <v>4289.139272</v>
      </c>
      <c r="J237" s="97">
        <f t="shared" si="19"/>
        <v>2452.733456</v>
      </c>
      <c r="K237" s="97">
        <f t="shared" si="4"/>
        <v>1836.405815</v>
      </c>
      <c r="L237" s="97">
        <f t="shared" si="16"/>
        <v>456656.9225</v>
      </c>
      <c r="M237" s="97">
        <f t="shared" si="17"/>
        <v>360843.0775</v>
      </c>
      <c r="N237" s="235">
        <f t="shared" si="5"/>
        <v>587048.4994</v>
      </c>
      <c r="O237" s="241" t="str">
        <f t="shared" si="14"/>
        <v/>
      </c>
      <c r="P237" s="242" t="str">
        <f t="shared" si="6"/>
        <v/>
      </c>
      <c r="Q237" s="242" t="str">
        <f t="shared" si="7"/>
        <v/>
      </c>
      <c r="R237" s="242" t="str">
        <f t="shared" si="8"/>
        <v/>
      </c>
      <c r="S237" s="242" t="str">
        <f t="shared" si="9"/>
        <v/>
      </c>
      <c r="T237" s="242" t="str">
        <f t="shared" si="10"/>
        <v/>
      </c>
      <c r="U237" s="242" t="str">
        <f t="shared" si="11"/>
        <v/>
      </c>
      <c r="V237" s="7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</row>
    <row r="238" ht="14.25" customHeight="1">
      <c r="A238" s="2"/>
      <c r="B238" s="2"/>
      <c r="C238" s="2"/>
      <c r="D238" s="2"/>
      <c r="E238" s="2"/>
      <c r="F238" s="2"/>
      <c r="G238" s="2"/>
      <c r="H238" s="125">
        <f t="shared" si="20"/>
        <v>222</v>
      </c>
      <c r="I238" s="97">
        <f t="shared" si="18"/>
        <v>4289.139272</v>
      </c>
      <c r="J238" s="97">
        <f t="shared" si="19"/>
        <v>2462.54439</v>
      </c>
      <c r="K238" s="97">
        <f t="shared" si="4"/>
        <v>1826.594882</v>
      </c>
      <c r="L238" s="97">
        <f t="shared" si="16"/>
        <v>454194.3781</v>
      </c>
      <c r="M238" s="97">
        <f t="shared" si="17"/>
        <v>363305.6219</v>
      </c>
      <c r="N238" s="235">
        <f t="shared" si="5"/>
        <v>588875.0943</v>
      </c>
      <c r="O238" s="241" t="str">
        <f t="shared" si="14"/>
        <v/>
      </c>
      <c r="P238" s="242" t="str">
        <f t="shared" si="6"/>
        <v/>
      </c>
      <c r="Q238" s="242" t="str">
        <f t="shared" si="7"/>
        <v/>
      </c>
      <c r="R238" s="242" t="str">
        <f t="shared" si="8"/>
        <v/>
      </c>
      <c r="S238" s="242" t="str">
        <f t="shared" si="9"/>
        <v/>
      </c>
      <c r="T238" s="242" t="str">
        <f t="shared" si="10"/>
        <v/>
      </c>
      <c r="U238" s="242" t="str">
        <f t="shared" si="11"/>
        <v/>
      </c>
      <c r="V238" s="7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</row>
    <row r="239" ht="14.25" customHeight="1">
      <c r="A239" s="2"/>
      <c r="B239" s="2"/>
      <c r="C239" s="2"/>
      <c r="D239" s="2"/>
      <c r="E239" s="2"/>
      <c r="F239" s="2"/>
      <c r="G239" s="2"/>
      <c r="H239" s="125">
        <f t="shared" si="20"/>
        <v>223</v>
      </c>
      <c r="I239" s="97">
        <f t="shared" si="18"/>
        <v>4289.139272</v>
      </c>
      <c r="J239" s="97">
        <f t="shared" si="19"/>
        <v>2472.394568</v>
      </c>
      <c r="K239" s="97">
        <f t="shared" si="4"/>
        <v>1816.744704</v>
      </c>
      <c r="L239" s="97">
        <f t="shared" si="16"/>
        <v>451721.9835</v>
      </c>
      <c r="M239" s="97">
        <f t="shared" si="17"/>
        <v>365778.0165</v>
      </c>
      <c r="N239" s="235">
        <f t="shared" si="5"/>
        <v>590691.839</v>
      </c>
      <c r="O239" s="241" t="str">
        <f t="shared" si="14"/>
        <v/>
      </c>
      <c r="P239" s="242" t="str">
        <f t="shared" si="6"/>
        <v/>
      </c>
      <c r="Q239" s="242" t="str">
        <f t="shared" si="7"/>
        <v/>
      </c>
      <c r="R239" s="242" t="str">
        <f t="shared" si="8"/>
        <v/>
      </c>
      <c r="S239" s="242" t="str">
        <f t="shared" si="9"/>
        <v/>
      </c>
      <c r="T239" s="242" t="str">
        <f t="shared" si="10"/>
        <v/>
      </c>
      <c r="U239" s="242" t="str">
        <f t="shared" si="11"/>
        <v/>
      </c>
      <c r="V239" s="7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</row>
    <row r="240" ht="14.25" customHeight="1">
      <c r="A240" s="2"/>
      <c r="B240" s="2"/>
      <c r="C240" s="2"/>
      <c r="D240" s="2"/>
      <c r="E240" s="2"/>
      <c r="F240" s="2"/>
      <c r="G240" s="2"/>
      <c r="H240" s="125">
        <f t="shared" si="20"/>
        <v>224</v>
      </c>
      <c r="I240" s="97">
        <f t="shared" si="18"/>
        <v>4289.139272</v>
      </c>
      <c r="J240" s="97">
        <f t="shared" si="19"/>
        <v>2482.284146</v>
      </c>
      <c r="K240" s="97">
        <f t="shared" si="4"/>
        <v>1806.855126</v>
      </c>
      <c r="L240" s="97">
        <f t="shared" si="16"/>
        <v>449239.6994</v>
      </c>
      <c r="M240" s="97">
        <f t="shared" si="17"/>
        <v>368260.3006</v>
      </c>
      <c r="N240" s="235">
        <f t="shared" si="5"/>
        <v>592498.6941</v>
      </c>
      <c r="O240" s="241" t="str">
        <f t="shared" si="14"/>
        <v/>
      </c>
      <c r="P240" s="242" t="str">
        <f t="shared" si="6"/>
        <v/>
      </c>
      <c r="Q240" s="242" t="str">
        <f t="shared" si="7"/>
        <v/>
      </c>
      <c r="R240" s="242" t="str">
        <f t="shared" si="8"/>
        <v/>
      </c>
      <c r="S240" s="242" t="str">
        <f t="shared" si="9"/>
        <v/>
      </c>
      <c r="T240" s="242" t="str">
        <f t="shared" si="10"/>
        <v/>
      </c>
      <c r="U240" s="242" t="str">
        <f t="shared" si="11"/>
        <v/>
      </c>
      <c r="V240" s="7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</row>
    <row r="241" ht="14.25" customHeight="1">
      <c r="A241" s="2"/>
      <c r="B241" s="2"/>
      <c r="C241" s="2"/>
      <c r="D241" s="2"/>
      <c r="E241" s="2"/>
      <c r="F241" s="2"/>
      <c r="G241" s="2"/>
      <c r="H241" s="125">
        <f t="shared" si="20"/>
        <v>225</v>
      </c>
      <c r="I241" s="97">
        <f t="shared" si="18"/>
        <v>4289.139272</v>
      </c>
      <c r="J241" s="97">
        <f t="shared" si="19"/>
        <v>2492.213283</v>
      </c>
      <c r="K241" s="97">
        <f t="shared" si="4"/>
        <v>1796.925989</v>
      </c>
      <c r="L241" s="97">
        <f t="shared" si="16"/>
        <v>446747.4861</v>
      </c>
      <c r="M241" s="97">
        <f t="shared" si="17"/>
        <v>370752.5139</v>
      </c>
      <c r="N241" s="235">
        <f t="shared" si="5"/>
        <v>594295.6201</v>
      </c>
      <c r="O241" s="241" t="str">
        <f t="shared" si="14"/>
        <v/>
      </c>
      <c r="P241" s="242" t="str">
        <f t="shared" si="6"/>
        <v/>
      </c>
      <c r="Q241" s="242" t="str">
        <f t="shared" si="7"/>
        <v/>
      </c>
      <c r="R241" s="242" t="str">
        <f t="shared" si="8"/>
        <v/>
      </c>
      <c r="S241" s="242" t="str">
        <f t="shared" si="9"/>
        <v/>
      </c>
      <c r="T241" s="242" t="str">
        <f t="shared" si="10"/>
        <v/>
      </c>
      <c r="U241" s="242" t="str">
        <f t="shared" si="11"/>
        <v/>
      </c>
      <c r="V241" s="7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</row>
    <row r="242" ht="14.25" customHeight="1">
      <c r="A242" s="2"/>
      <c r="B242" s="2"/>
      <c r="C242" s="2"/>
      <c r="D242" s="2"/>
      <c r="E242" s="2"/>
      <c r="F242" s="2"/>
      <c r="G242" s="2"/>
      <c r="H242" s="125">
        <f t="shared" si="20"/>
        <v>226</v>
      </c>
      <c r="I242" s="97">
        <f t="shared" si="18"/>
        <v>4289.139272</v>
      </c>
      <c r="J242" s="97">
        <f t="shared" si="19"/>
        <v>2502.182136</v>
      </c>
      <c r="K242" s="97">
        <f t="shared" si="4"/>
        <v>1786.957136</v>
      </c>
      <c r="L242" s="97">
        <f t="shared" si="16"/>
        <v>444245.304</v>
      </c>
      <c r="M242" s="97">
        <f t="shared" si="17"/>
        <v>373254.696</v>
      </c>
      <c r="N242" s="235">
        <f t="shared" si="5"/>
        <v>596082.5773</v>
      </c>
      <c r="O242" s="241" t="str">
        <f t="shared" si="14"/>
        <v/>
      </c>
      <c r="P242" s="242" t="str">
        <f t="shared" si="6"/>
        <v/>
      </c>
      <c r="Q242" s="242" t="str">
        <f t="shared" si="7"/>
        <v/>
      </c>
      <c r="R242" s="242" t="str">
        <f t="shared" si="8"/>
        <v/>
      </c>
      <c r="S242" s="242" t="str">
        <f t="shared" si="9"/>
        <v/>
      </c>
      <c r="T242" s="242" t="str">
        <f t="shared" si="10"/>
        <v/>
      </c>
      <c r="U242" s="242" t="str">
        <f t="shared" si="11"/>
        <v/>
      </c>
      <c r="V242" s="7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</row>
    <row r="243" ht="14.25" customHeight="1">
      <c r="A243" s="2"/>
      <c r="B243" s="2"/>
      <c r="C243" s="2"/>
      <c r="D243" s="2"/>
      <c r="E243" s="2"/>
      <c r="F243" s="2"/>
      <c r="G243" s="2"/>
      <c r="H243" s="125">
        <f t="shared" si="20"/>
        <v>227</v>
      </c>
      <c r="I243" s="97">
        <f t="shared" si="18"/>
        <v>4289.139272</v>
      </c>
      <c r="J243" s="97">
        <f t="shared" si="19"/>
        <v>2512.190864</v>
      </c>
      <c r="K243" s="97">
        <f t="shared" si="4"/>
        <v>1776.948407</v>
      </c>
      <c r="L243" s="97">
        <f t="shared" si="16"/>
        <v>441733.1131</v>
      </c>
      <c r="M243" s="97">
        <f t="shared" si="17"/>
        <v>375766.8869</v>
      </c>
      <c r="N243" s="235">
        <f t="shared" si="5"/>
        <v>597859.5257</v>
      </c>
      <c r="O243" s="241" t="str">
        <f t="shared" si="14"/>
        <v/>
      </c>
      <c r="P243" s="242" t="str">
        <f t="shared" si="6"/>
        <v/>
      </c>
      <c r="Q243" s="242" t="str">
        <f t="shared" si="7"/>
        <v/>
      </c>
      <c r="R243" s="242" t="str">
        <f t="shared" si="8"/>
        <v/>
      </c>
      <c r="S243" s="242" t="str">
        <f t="shared" si="9"/>
        <v/>
      </c>
      <c r="T243" s="242" t="str">
        <f t="shared" si="10"/>
        <v/>
      </c>
      <c r="U243" s="242" t="str">
        <f t="shared" si="11"/>
        <v/>
      </c>
      <c r="V243" s="7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</row>
    <row r="244" ht="14.25" customHeight="1">
      <c r="A244" s="2"/>
      <c r="B244" s="2"/>
      <c r="C244" s="2"/>
      <c r="D244" s="2"/>
      <c r="E244" s="2"/>
      <c r="F244" s="2"/>
      <c r="G244" s="2"/>
      <c r="H244" s="125">
        <f t="shared" si="20"/>
        <v>228</v>
      </c>
      <c r="I244" s="97">
        <f t="shared" si="18"/>
        <v>4289.139272</v>
      </c>
      <c r="J244" s="97">
        <f t="shared" si="19"/>
        <v>2522.239628</v>
      </c>
      <c r="K244" s="97">
        <f t="shared" si="4"/>
        <v>1766.899644</v>
      </c>
      <c r="L244" s="97">
        <f t="shared" si="16"/>
        <v>439210.8735</v>
      </c>
      <c r="M244" s="97">
        <f t="shared" si="17"/>
        <v>378289.1265</v>
      </c>
      <c r="N244" s="235">
        <f t="shared" si="5"/>
        <v>599626.4253</v>
      </c>
      <c r="O244" s="241" t="str">
        <f t="shared" si="14"/>
        <v/>
      </c>
      <c r="P244" s="242" t="str">
        <f t="shared" si="6"/>
        <v/>
      </c>
      <c r="Q244" s="242" t="str">
        <f t="shared" si="7"/>
        <v/>
      </c>
      <c r="R244" s="242" t="str">
        <f t="shared" si="8"/>
        <v/>
      </c>
      <c r="S244" s="242" t="str">
        <f t="shared" si="9"/>
        <v/>
      </c>
      <c r="T244" s="242" t="str">
        <f t="shared" si="10"/>
        <v/>
      </c>
      <c r="U244" s="242" t="str">
        <f t="shared" si="11"/>
        <v/>
      </c>
      <c r="V244" s="7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</row>
    <row r="245" ht="14.25" customHeight="1">
      <c r="A245" s="2"/>
      <c r="B245" s="2"/>
      <c r="C245" s="2"/>
      <c r="D245" s="2"/>
      <c r="E245" s="2"/>
      <c r="F245" s="2"/>
      <c r="G245" s="2"/>
      <c r="H245" s="125">
        <f t="shared" si="20"/>
        <v>229</v>
      </c>
      <c r="I245" s="97">
        <f t="shared" si="18"/>
        <v>4289.139272</v>
      </c>
      <c r="J245" s="97">
        <f t="shared" si="19"/>
        <v>2532.328586</v>
      </c>
      <c r="K245" s="97">
        <f t="shared" si="4"/>
        <v>1756.810685</v>
      </c>
      <c r="L245" s="97">
        <f t="shared" si="16"/>
        <v>436678.5449</v>
      </c>
      <c r="M245" s="97">
        <f t="shared" si="17"/>
        <v>380821.4551</v>
      </c>
      <c r="N245" s="235">
        <f t="shared" si="5"/>
        <v>601383.236</v>
      </c>
      <c r="O245" s="241" t="str">
        <f t="shared" si="14"/>
        <v/>
      </c>
      <c r="P245" s="242" t="str">
        <f t="shared" si="6"/>
        <v/>
      </c>
      <c r="Q245" s="242" t="str">
        <f t="shared" si="7"/>
        <v/>
      </c>
      <c r="R245" s="242" t="str">
        <f t="shared" si="8"/>
        <v/>
      </c>
      <c r="S245" s="242" t="str">
        <f t="shared" si="9"/>
        <v/>
      </c>
      <c r="T245" s="242" t="str">
        <f t="shared" si="10"/>
        <v/>
      </c>
      <c r="U245" s="242" t="str">
        <f t="shared" si="11"/>
        <v/>
      </c>
      <c r="V245" s="7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</row>
    <row r="246" ht="14.25" customHeight="1">
      <c r="A246" s="2"/>
      <c r="B246" s="2"/>
      <c r="C246" s="2"/>
      <c r="D246" s="2"/>
      <c r="E246" s="2"/>
      <c r="F246" s="2"/>
      <c r="G246" s="2"/>
      <c r="H246" s="125">
        <f t="shared" si="20"/>
        <v>230</v>
      </c>
      <c r="I246" s="97">
        <f t="shared" si="18"/>
        <v>4289.139272</v>
      </c>
      <c r="J246" s="97">
        <f t="shared" si="19"/>
        <v>2542.457901</v>
      </c>
      <c r="K246" s="97">
        <f t="shared" si="4"/>
        <v>1746.681371</v>
      </c>
      <c r="L246" s="97">
        <f t="shared" si="16"/>
        <v>434136.087</v>
      </c>
      <c r="M246" s="97">
        <f t="shared" si="17"/>
        <v>383363.913</v>
      </c>
      <c r="N246" s="235">
        <f t="shared" si="5"/>
        <v>603129.9174</v>
      </c>
      <c r="O246" s="241" t="str">
        <f t="shared" si="14"/>
        <v/>
      </c>
      <c r="P246" s="242" t="str">
        <f t="shared" si="6"/>
        <v/>
      </c>
      <c r="Q246" s="242" t="str">
        <f t="shared" si="7"/>
        <v/>
      </c>
      <c r="R246" s="242" t="str">
        <f t="shared" si="8"/>
        <v/>
      </c>
      <c r="S246" s="242" t="str">
        <f t="shared" si="9"/>
        <v/>
      </c>
      <c r="T246" s="242" t="str">
        <f t="shared" si="10"/>
        <v/>
      </c>
      <c r="U246" s="242" t="str">
        <f t="shared" si="11"/>
        <v/>
      </c>
      <c r="V246" s="7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</row>
    <row r="247" ht="14.25" customHeight="1">
      <c r="A247" s="2"/>
      <c r="B247" s="2"/>
      <c r="C247" s="2"/>
      <c r="D247" s="2"/>
      <c r="E247" s="2"/>
      <c r="F247" s="2"/>
      <c r="G247" s="2"/>
      <c r="H247" s="125">
        <f t="shared" si="20"/>
        <v>231</v>
      </c>
      <c r="I247" s="97">
        <f t="shared" si="18"/>
        <v>4289.139272</v>
      </c>
      <c r="J247" s="97">
        <f t="shared" si="19"/>
        <v>2552.627732</v>
      </c>
      <c r="K247" s="97">
        <f t="shared" si="4"/>
        <v>1736.51154</v>
      </c>
      <c r="L247" s="97">
        <f t="shared" si="16"/>
        <v>431583.4592</v>
      </c>
      <c r="M247" s="97">
        <f t="shared" si="17"/>
        <v>385916.5408</v>
      </c>
      <c r="N247" s="235">
        <f t="shared" si="5"/>
        <v>604866.4289</v>
      </c>
      <c r="O247" s="241" t="str">
        <f t="shared" si="14"/>
        <v/>
      </c>
      <c r="P247" s="242" t="str">
        <f t="shared" si="6"/>
        <v/>
      </c>
      <c r="Q247" s="242" t="str">
        <f t="shared" si="7"/>
        <v/>
      </c>
      <c r="R247" s="242" t="str">
        <f t="shared" si="8"/>
        <v/>
      </c>
      <c r="S247" s="242" t="str">
        <f t="shared" si="9"/>
        <v/>
      </c>
      <c r="T247" s="242" t="str">
        <f t="shared" si="10"/>
        <v/>
      </c>
      <c r="U247" s="242" t="str">
        <f t="shared" si="11"/>
        <v/>
      </c>
      <c r="V247" s="7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</row>
    <row r="248" ht="14.25" customHeight="1">
      <c r="A248" s="2"/>
      <c r="B248" s="2"/>
      <c r="C248" s="2"/>
      <c r="D248" s="2"/>
      <c r="E248" s="2"/>
      <c r="F248" s="2"/>
      <c r="G248" s="2"/>
      <c r="H248" s="125">
        <f t="shared" si="20"/>
        <v>232</v>
      </c>
      <c r="I248" s="97">
        <f t="shared" si="18"/>
        <v>4289.139272</v>
      </c>
      <c r="J248" s="97">
        <f t="shared" si="19"/>
        <v>2562.838243</v>
      </c>
      <c r="K248" s="97">
        <f t="shared" si="4"/>
        <v>1726.301029</v>
      </c>
      <c r="L248" s="97">
        <f t="shared" si="16"/>
        <v>429020.621</v>
      </c>
      <c r="M248" s="97">
        <f t="shared" si="17"/>
        <v>388479.379</v>
      </c>
      <c r="N248" s="235">
        <f t="shared" si="5"/>
        <v>606592.7299</v>
      </c>
      <c r="O248" s="241" t="str">
        <f t="shared" si="14"/>
        <v/>
      </c>
      <c r="P248" s="242" t="str">
        <f t="shared" si="6"/>
        <v/>
      </c>
      <c r="Q248" s="242" t="str">
        <f t="shared" si="7"/>
        <v/>
      </c>
      <c r="R248" s="242" t="str">
        <f t="shared" si="8"/>
        <v/>
      </c>
      <c r="S248" s="242" t="str">
        <f t="shared" si="9"/>
        <v/>
      </c>
      <c r="T248" s="242" t="str">
        <f t="shared" si="10"/>
        <v/>
      </c>
      <c r="U248" s="242" t="str">
        <f t="shared" si="11"/>
        <v/>
      </c>
      <c r="V248" s="7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</row>
    <row r="249" ht="14.25" customHeight="1">
      <c r="A249" s="2"/>
      <c r="B249" s="2"/>
      <c r="C249" s="2"/>
      <c r="D249" s="2"/>
      <c r="E249" s="2"/>
      <c r="F249" s="2"/>
      <c r="G249" s="2"/>
      <c r="H249" s="125">
        <f t="shared" si="20"/>
        <v>233</v>
      </c>
      <c r="I249" s="97">
        <f t="shared" si="18"/>
        <v>4289.139272</v>
      </c>
      <c r="J249" s="97">
        <f t="shared" si="19"/>
        <v>2573.089596</v>
      </c>
      <c r="K249" s="97">
        <f t="shared" si="4"/>
        <v>1716.049676</v>
      </c>
      <c r="L249" s="97">
        <f t="shared" si="16"/>
        <v>426447.5314</v>
      </c>
      <c r="M249" s="97">
        <f t="shared" si="17"/>
        <v>391052.4686</v>
      </c>
      <c r="N249" s="235">
        <f t="shared" si="5"/>
        <v>608308.7796</v>
      </c>
      <c r="O249" s="241" t="str">
        <f t="shared" si="14"/>
        <v/>
      </c>
      <c r="P249" s="242" t="str">
        <f t="shared" si="6"/>
        <v/>
      </c>
      <c r="Q249" s="242" t="str">
        <f t="shared" si="7"/>
        <v/>
      </c>
      <c r="R249" s="242" t="str">
        <f t="shared" si="8"/>
        <v/>
      </c>
      <c r="S249" s="242" t="str">
        <f t="shared" si="9"/>
        <v/>
      </c>
      <c r="T249" s="242" t="str">
        <f t="shared" si="10"/>
        <v/>
      </c>
      <c r="U249" s="242" t="str">
        <f t="shared" si="11"/>
        <v/>
      </c>
      <c r="V249" s="7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</row>
    <row r="250" ht="14.25" customHeight="1">
      <c r="A250" s="2"/>
      <c r="B250" s="2"/>
      <c r="C250" s="2"/>
      <c r="D250" s="2"/>
      <c r="E250" s="2"/>
      <c r="F250" s="2"/>
      <c r="G250" s="2"/>
      <c r="H250" s="125">
        <f t="shared" si="20"/>
        <v>234</v>
      </c>
      <c r="I250" s="97">
        <f t="shared" si="18"/>
        <v>4289.139272</v>
      </c>
      <c r="J250" s="97">
        <f t="shared" si="19"/>
        <v>2583.381955</v>
      </c>
      <c r="K250" s="97">
        <f t="shared" si="4"/>
        <v>1705.757317</v>
      </c>
      <c r="L250" s="97">
        <f t="shared" si="16"/>
        <v>423864.1495</v>
      </c>
      <c r="M250" s="97">
        <f t="shared" si="17"/>
        <v>393635.8505</v>
      </c>
      <c r="N250" s="235">
        <f t="shared" si="5"/>
        <v>610014.5369</v>
      </c>
      <c r="O250" s="241" t="str">
        <f t="shared" si="14"/>
        <v/>
      </c>
      <c r="P250" s="242" t="str">
        <f t="shared" si="6"/>
        <v/>
      </c>
      <c r="Q250" s="242" t="str">
        <f t="shared" si="7"/>
        <v/>
      </c>
      <c r="R250" s="242" t="str">
        <f t="shared" si="8"/>
        <v/>
      </c>
      <c r="S250" s="242" t="str">
        <f t="shared" si="9"/>
        <v/>
      </c>
      <c r="T250" s="242" t="str">
        <f t="shared" si="10"/>
        <v/>
      </c>
      <c r="U250" s="242" t="str">
        <f t="shared" si="11"/>
        <v/>
      </c>
      <c r="V250" s="7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</row>
    <row r="251" ht="14.25" customHeight="1">
      <c r="A251" s="2"/>
      <c r="B251" s="2"/>
      <c r="C251" s="2"/>
      <c r="D251" s="2"/>
      <c r="E251" s="2"/>
      <c r="F251" s="2"/>
      <c r="G251" s="2"/>
      <c r="H251" s="125">
        <f t="shared" si="20"/>
        <v>235</v>
      </c>
      <c r="I251" s="97">
        <f t="shared" si="18"/>
        <v>4289.139272</v>
      </c>
      <c r="J251" s="97">
        <f t="shared" si="19"/>
        <v>2593.715482</v>
      </c>
      <c r="K251" s="97">
        <f t="shared" si="4"/>
        <v>1695.423789</v>
      </c>
      <c r="L251" s="97">
        <f t="shared" si="16"/>
        <v>421270.434</v>
      </c>
      <c r="M251" s="97">
        <f t="shared" si="17"/>
        <v>396229.566</v>
      </c>
      <c r="N251" s="235">
        <f t="shared" si="5"/>
        <v>611709.9607</v>
      </c>
      <c r="O251" s="241" t="str">
        <f t="shared" si="14"/>
        <v/>
      </c>
      <c r="P251" s="242" t="str">
        <f t="shared" si="6"/>
        <v/>
      </c>
      <c r="Q251" s="242" t="str">
        <f t="shared" si="7"/>
        <v/>
      </c>
      <c r="R251" s="242" t="str">
        <f t="shared" si="8"/>
        <v/>
      </c>
      <c r="S251" s="242" t="str">
        <f t="shared" si="9"/>
        <v/>
      </c>
      <c r="T251" s="242" t="str">
        <f t="shared" si="10"/>
        <v/>
      </c>
      <c r="U251" s="242" t="str">
        <f t="shared" si="11"/>
        <v/>
      </c>
      <c r="V251" s="7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</row>
    <row r="252" ht="14.25" customHeight="1">
      <c r="A252" s="2"/>
      <c r="B252" s="2"/>
      <c r="C252" s="2"/>
      <c r="D252" s="2"/>
      <c r="E252" s="2"/>
      <c r="F252" s="2"/>
      <c r="G252" s="2"/>
      <c r="H252" s="125">
        <f t="shared" si="20"/>
        <v>236</v>
      </c>
      <c r="I252" s="97">
        <f t="shared" si="18"/>
        <v>4289.139272</v>
      </c>
      <c r="J252" s="97">
        <f t="shared" si="19"/>
        <v>2604.090344</v>
      </c>
      <c r="K252" s="97">
        <f t="shared" si="4"/>
        <v>1685.048927</v>
      </c>
      <c r="L252" s="97">
        <f t="shared" si="16"/>
        <v>418666.3436</v>
      </c>
      <c r="M252" s="97">
        <f t="shared" si="17"/>
        <v>398833.6564</v>
      </c>
      <c r="N252" s="235">
        <f t="shared" si="5"/>
        <v>613395.0097</v>
      </c>
      <c r="O252" s="241" t="str">
        <f t="shared" si="14"/>
        <v/>
      </c>
      <c r="P252" s="242" t="str">
        <f t="shared" si="6"/>
        <v/>
      </c>
      <c r="Q252" s="242" t="str">
        <f t="shared" si="7"/>
        <v/>
      </c>
      <c r="R252" s="242" t="str">
        <f t="shared" si="8"/>
        <v/>
      </c>
      <c r="S252" s="242" t="str">
        <f t="shared" si="9"/>
        <v/>
      </c>
      <c r="T252" s="242" t="str">
        <f t="shared" si="10"/>
        <v/>
      </c>
      <c r="U252" s="242" t="str">
        <f t="shared" si="11"/>
        <v/>
      </c>
      <c r="V252" s="7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</row>
    <row r="253" ht="14.25" customHeight="1">
      <c r="A253" s="2"/>
      <c r="B253" s="2"/>
      <c r="C253" s="2"/>
      <c r="D253" s="2"/>
      <c r="E253" s="2"/>
      <c r="F253" s="2"/>
      <c r="G253" s="2"/>
      <c r="H253" s="125">
        <f t="shared" si="20"/>
        <v>237</v>
      </c>
      <c r="I253" s="97">
        <f t="shared" si="18"/>
        <v>4289.139272</v>
      </c>
      <c r="J253" s="97">
        <f t="shared" si="19"/>
        <v>2614.506706</v>
      </c>
      <c r="K253" s="97">
        <f t="shared" si="4"/>
        <v>1674.632566</v>
      </c>
      <c r="L253" s="97">
        <f t="shared" si="16"/>
        <v>416051.8369</v>
      </c>
      <c r="M253" s="97">
        <f t="shared" si="17"/>
        <v>401448.1631</v>
      </c>
      <c r="N253" s="235">
        <f t="shared" si="5"/>
        <v>615069.6422</v>
      </c>
      <c r="O253" s="241" t="str">
        <f t="shared" si="14"/>
        <v/>
      </c>
      <c r="P253" s="242" t="str">
        <f t="shared" si="6"/>
        <v/>
      </c>
      <c r="Q253" s="242" t="str">
        <f t="shared" si="7"/>
        <v/>
      </c>
      <c r="R253" s="242" t="str">
        <f t="shared" si="8"/>
        <v/>
      </c>
      <c r="S253" s="242" t="str">
        <f t="shared" si="9"/>
        <v/>
      </c>
      <c r="T253" s="242" t="str">
        <f t="shared" si="10"/>
        <v/>
      </c>
      <c r="U253" s="242" t="str">
        <f t="shared" si="11"/>
        <v/>
      </c>
      <c r="V253" s="7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</row>
    <row r="254" ht="14.25" customHeight="1">
      <c r="A254" s="2"/>
      <c r="B254" s="2"/>
      <c r="C254" s="2"/>
      <c r="D254" s="2"/>
      <c r="E254" s="2"/>
      <c r="F254" s="2"/>
      <c r="G254" s="2"/>
      <c r="H254" s="125">
        <f t="shared" si="20"/>
        <v>238</v>
      </c>
      <c r="I254" s="97">
        <f t="shared" si="18"/>
        <v>4289.139272</v>
      </c>
      <c r="J254" s="97">
        <f t="shared" si="19"/>
        <v>2624.964732</v>
      </c>
      <c r="K254" s="97">
        <f t="shared" si="4"/>
        <v>1664.174539</v>
      </c>
      <c r="L254" s="97">
        <f t="shared" si="16"/>
        <v>413426.8722</v>
      </c>
      <c r="M254" s="97">
        <f t="shared" si="17"/>
        <v>404073.1278</v>
      </c>
      <c r="N254" s="235">
        <f t="shared" si="5"/>
        <v>616733.8168</v>
      </c>
      <c r="O254" s="241" t="str">
        <f t="shared" si="14"/>
        <v/>
      </c>
      <c r="P254" s="242" t="str">
        <f t="shared" si="6"/>
        <v/>
      </c>
      <c r="Q254" s="242" t="str">
        <f t="shared" si="7"/>
        <v/>
      </c>
      <c r="R254" s="242" t="str">
        <f t="shared" si="8"/>
        <v/>
      </c>
      <c r="S254" s="242" t="str">
        <f t="shared" si="9"/>
        <v/>
      </c>
      <c r="T254" s="242" t="str">
        <f t="shared" si="10"/>
        <v/>
      </c>
      <c r="U254" s="242" t="str">
        <f t="shared" si="11"/>
        <v/>
      </c>
      <c r="V254" s="7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</row>
    <row r="255" ht="14.25" customHeight="1">
      <c r="A255" s="2"/>
      <c r="B255" s="2"/>
      <c r="C255" s="2"/>
      <c r="D255" s="2"/>
      <c r="E255" s="2"/>
      <c r="F255" s="2"/>
      <c r="G255" s="2"/>
      <c r="H255" s="125">
        <f t="shared" si="20"/>
        <v>239</v>
      </c>
      <c r="I255" s="97">
        <f t="shared" si="18"/>
        <v>4289.139272</v>
      </c>
      <c r="J255" s="97">
        <f t="shared" si="19"/>
        <v>2635.464591</v>
      </c>
      <c r="K255" s="97">
        <f t="shared" si="4"/>
        <v>1653.67468</v>
      </c>
      <c r="L255" s="97">
        <f t="shared" si="16"/>
        <v>410791.4076</v>
      </c>
      <c r="M255" s="97">
        <f t="shared" si="17"/>
        <v>406708.5924</v>
      </c>
      <c r="N255" s="235">
        <f t="shared" si="5"/>
        <v>618387.4914</v>
      </c>
      <c r="O255" s="241" t="str">
        <f t="shared" si="14"/>
        <v/>
      </c>
      <c r="P255" s="242" t="str">
        <f t="shared" si="6"/>
        <v/>
      </c>
      <c r="Q255" s="242" t="str">
        <f t="shared" si="7"/>
        <v/>
      </c>
      <c r="R255" s="242" t="str">
        <f t="shared" si="8"/>
        <v/>
      </c>
      <c r="S255" s="242" t="str">
        <f t="shared" si="9"/>
        <v/>
      </c>
      <c r="T255" s="242" t="str">
        <f t="shared" si="10"/>
        <v/>
      </c>
      <c r="U255" s="242" t="str">
        <f t="shared" si="11"/>
        <v/>
      </c>
      <c r="V255" s="7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</row>
    <row r="256" ht="14.25" customHeight="1">
      <c r="A256" s="2"/>
      <c r="B256" s="2"/>
      <c r="C256" s="2"/>
      <c r="D256" s="2"/>
      <c r="E256" s="2"/>
      <c r="F256" s="2"/>
      <c r="G256" s="2"/>
      <c r="H256" s="125">
        <f t="shared" si="20"/>
        <v>240</v>
      </c>
      <c r="I256" s="97">
        <f t="shared" si="18"/>
        <v>4289.139272</v>
      </c>
      <c r="J256" s="97">
        <f t="shared" si="19"/>
        <v>2646.00645</v>
      </c>
      <c r="K256" s="97">
        <f t="shared" si="4"/>
        <v>1643.132822</v>
      </c>
      <c r="L256" s="97">
        <f t="shared" si="16"/>
        <v>408145.4011</v>
      </c>
      <c r="M256" s="97">
        <f t="shared" si="17"/>
        <v>409354.5989</v>
      </c>
      <c r="N256" s="235">
        <f t="shared" si="5"/>
        <v>620030.6243</v>
      </c>
      <c r="O256" s="241" t="str">
        <f t="shared" si="14"/>
        <v/>
      </c>
      <c r="P256" s="242" t="str">
        <f t="shared" si="6"/>
        <v/>
      </c>
      <c r="Q256" s="242" t="str">
        <f t="shared" si="7"/>
        <v/>
      </c>
      <c r="R256" s="242" t="str">
        <f t="shared" si="8"/>
        <v/>
      </c>
      <c r="S256" s="242" t="str">
        <f t="shared" si="9"/>
        <v/>
      </c>
      <c r="T256" s="242" t="str">
        <f t="shared" si="10"/>
        <v/>
      </c>
      <c r="U256" s="242" t="str">
        <f t="shared" si="11"/>
        <v/>
      </c>
      <c r="V256" s="7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</row>
    <row r="257" ht="14.25" customHeight="1">
      <c r="A257" s="2"/>
      <c r="B257" s="2"/>
      <c r="C257" s="2"/>
      <c r="D257" s="2"/>
      <c r="E257" s="2"/>
      <c r="F257" s="2"/>
      <c r="G257" s="2"/>
      <c r="H257" s="125">
        <f t="shared" si="20"/>
        <v>241</v>
      </c>
      <c r="I257" s="97">
        <f t="shared" si="18"/>
        <v>4289.139272</v>
      </c>
      <c r="J257" s="97">
        <f t="shared" si="19"/>
        <v>2656.590476</v>
      </c>
      <c r="K257" s="97">
        <f t="shared" si="4"/>
        <v>1632.548796</v>
      </c>
      <c r="L257" s="97">
        <f t="shared" si="16"/>
        <v>405488.8107</v>
      </c>
      <c r="M257" s="97">
        <f t="shared" si="17"/>
        <v>412011.1893</v>
      </c>
      <c r="N257" s="235">
        <f t="shared" si="5"/>
        <v>621663.1731</v>
      </c>
      <c r="O257" s="241" t="str">
        <f t="shared" si="14"/>
        <v/>
      </c>
      <c r="P257" s="242" t="str">
        <f t="shared" si="6"/>
        <v/>
      </c>
      <c r="Q257" s="242" t="str">
        <f t="shared" si="7"/>
        <v/>
      </c>
      <c r="R257" s="242" t="str">
        <f t="shared" si="8"/>
        <v/>
      </c>
      <c r="S257" s="242" t="str">
        <f t="shared" si="9"/>
        <v/>
      </c>
      <c r="T257" s="242" t="str">
        <f t="shared" si="10"/>
        <v/>
      </c>
      <c r="U257" s="242" t="str">
        <f t="shared" si="11"/>
        <v/>
      </c>
      <c r="V257" s="7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</row>
    <row r="258" ht="14.25" customHeight="1">
      <c r="A258" s="2"/>
      <c r="B258" s="2"/>
      <c r="C258" s="2"/>
      <c r="D258" s="2"/>
      <c r="E258" s="2"/>
      <c r="F258" s="2"/>
      <c r="G258" s="2"/>
      <c r="H258" s="125">
        <f t="shared" si="20"/>
        <v>242</v>
      </c>
      <c r="I258" s="97">
        <f t="shared" si="18"/>
        <v>4289.139272</v>
      </c>
      <c r="J258" s="97">
        <f t="shared" si="19"/>
        <v>2667.216837</v>
      </c>
      <c r="K258" s="97">
        <f t="shared" si="4"/>
        <v>1621.922434</v>
      </c>
      <c r="L258" s="97">
        <f t="shared" si="16"/>
        <v>402821.5938</v>
      </c>
      <c r="M258" s="97">
        <f t="shared" si="17"/>
        <v>414678.4062</v>
      </c>
      <c r="N258" s="235">
        <f t="shared" si="5"/>
        <v>623285.0955</v>
      </c>
      <c r="O258" s="241" t="str">
        <f t="shared" si="14"/>
        <v/>
      </c>
      <c r="P258" s="242" t="str">
        <f t="shared" si="6"/>
        <v/>
      </c>
      <c r="Q258" s="242" t="str">
        <f t="shared" si="7"/>
        <v/>
      </c>
      <c r="R258" s="242" t="str">
        <f t="shared" si="8"/>
        <v/>
      </c>
      <c r="S258" s="242" t="str">
        <f t="shared" si="9"/>
        <v/>
      </c>
      <c r="T258" s="242" t="str">
        <f t="shared" si="10"/>
        <v/>
      </c>
      <c r="U258" s="242" t="str">
        <f t="shared" si="11"/>
        <v/>
      </c>
      <c r="V258" s="7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</row>
    <row r="259" ht="14.25" customHeight="1">
      <c r="A259" s="2"/>
      <c r="B259" s="2"/>
      <c r="C259" s="2"/>
      <c r="D259" s="2"/>
      <c r="E259" s="2"/>
      <c r="F259" s="2"/>
      <c r="G259" s="2"/>
      <c r="H259" s="125">
        <f t="shared" si="20"/>
        <v>243</v>
      </c>
      <c r="I259" s="97">
        <f t="shared" si="18"/>
        <v>4289.139272</v>
      </c>
      <c r="J259" s="97">
        <f t="shared" si="19"/>
        <v>2677.885705</v>
      </c>
      <c r="K259" s="97">
        <f t="shared" si="4"/>
        <v>1611.253567</v>
      </c>
      <c r="L259" s="97">
        <f t="shared" si="16"/>
        <v>400143.7081</v>
      </c>
      <c r="M259" s="97">
        <f t="shared" si="17"/>
        <v>417356.2919</v>
      </c>
      <c r="N259" s="235">
        <f t="shared" si="5"/>
        <v>624896.3491</v>
      </c>
      <c r="O259" s="241" t="str">
        <f t="shared" si="14"/>
        <v/>
      </c>
      <c r="P259" s="242" t="str">
        <f t="shared" si="6"/>
        <v/>
      </c>
      <c r="Q259" s="242" t="str">
        <f t="shared" si="7"/>
        <v/>
      </c>
      <c r="R259" s="242" t="str">
        <f t="shared" si="8"/>
        <v/>
      </c>
      <c r="S259" s="242" t="str">
        <f t="shared" si="9"/>
        <v/>
      </c>
      <c r="T259" s="242" t="str">
        <f t="shared" si="10"/>
        <v/>
      </c>
      <c r="U259" s="242" t="str">
        <f t="shared" si="11"/>
        <v/>
      </c>
      <c r="V259" s="7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</row>
    <row r="260" ht="14.25" customHeight="1">
      <c r="A260" s="2"/>
      <c r="B260" s="2"/>
      <c r="C260" s="2"/>
      <c r="D260" s="2"/>
      <c r="E260" s="2"/>
      <c r="F260" s="2"/>
      <c r="G260" s="2"/>
      <c r="H260" s="125">
        <f t="shared" si="20"/>
        <v>244</v>
      </c>
      <c r="I260" s="97">
        <f t="shared" si="18"/>
        <v>4289.139272</v>
      </c>
      <c r="J260" s="97">
        <f t="shared" si="19"/>
        <v>2688.597248</v>
      </c>
      <c r="K260" s="97">
        <f t="shared" si="4"/>
        <v>1600.542024</v>
      </c>
      <c r="L260" s="97">
        <f t="shared" si="16"/>
        <v>397455.1109</v>
      </c>
      <c r="M260" s="97">
        <f t="shared" si="17"/>
        <v>420044.8891</v>
      </c>
      <c r="N260" s="235">
        <f t="shared" si="5"/>
        <v>626496.8911</v>
      </c>
      <c r="O260" s="241" t="str">
        <f t="shared" si="14"/>
        <v/>
      </c>
      <c r="P260" s="242" t="str">
        <f t="shared" si="6"/>
        <v/>
      </c>
      <c r="Q260" s="242" t="str">
        <f t="shared" si="7"/>
        <v/>
      </c>
      <c r="R260" s="242" t="str">
        <f t="shared" si="8"/>
        <v/>
      </c>
      <c r="S260" s="242" t="str">
        <f t="shared" si="9"/>
        <v/>
      </c>
      <c r="T260" s="242" t="str">
        <f t="shared" si="10"/>
        <v/>
      </c>
      <c r="U260" s="242" t="str">
        <f t="shared" si="11"/>
        <v/>
      </c>
      <c r="V260" s="7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</row>
    <row r="261" ht="14.25" customHeight="1">
      <c r="A261" s="2"/>
      <c r="B261" s="2"/>
      <c r="C261" s="2"/>
      <c r="D261" s="2"/>
      <c r="E261" s="2"/>
      <c r="F261" s="2"/>
      <c r="G261" s="2"/>
      <c r="H261" s="125">
        <f t="shared" si="20"/>
        <v>245</v>
      </c>
      <c r="I261" s="97">
        <f t="shared" si="18"/>
        <v>4289.139272</v>
      </c>
      <c r="J261" s="97">
        <f t="shared" si="19"/>
        <v>2699.351637</v>
      </c>
      <c r="K261" s="97">
        <f t="shared" si="4"/>
        <v>1589.787635</v>
      </c>
      <c r="L261" s="97">
        <f t="shared" si="16"/>
        <v>394755.7592</v>
      </c>
      <c r="M261" s="97">
        <f t="shared" si="17"/>
        <v>422744.2408</v>
      </c>
      <c r="N261" s="235">
        <f t="shared" si="5"/>
        <v>628086.6787</v>
      </c>
      <c r="O261" s="241" t="str">
        <f t="shared" si="14"/>
        <v/>
      </c>
      <c r="P261" s="242" t="str">
        <f t="shared" si="6"/>
        <v/>
      </c>
      <c r="Q261" s="242" t="str">
        <f t="shared" si="7"/>
        <v/>
      </c>
      <c r="R261" s="242" t="str">
        <f t="shared" si="8"/>
        <v/>
      </c>
      <c r="S261" s="242" t="str">
        <f t="shared" si="9"/>
        <v/>
      </c>
      <c r="T261" s="242" t="str">
        <f t="shared" si="10"/>
        <v/>
      </c>
      <c r="U261" s="242" t="str">
        <f t="shared" si="11"/>
        <v/>
      </c>
      <c r="V261" s="7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</row>
    <row r="262" ht="14.25" customHeight="1">
      <c r="A262" s="2"/>
      <c r="B262" s="2"/>
      <c r="C262" s="2"/>
      <c r="D262" s="2"/>
      <c r="E262" s="2"/>
      <c r="F262" s="2"/>
      <c r="G262" s="2"/>
      <c r="H262" s="125">
        <f t="shared" si="20"/>
        <v>246</v>
      </c>
      <c r="I262" s="97">
        <f t="shared" si="18"/>
        <v>4289.139272</v>
      </c>
      <c r="J262" s="97">
        <f t="shared" si="19"/>
        <v>2710.149043</v>
      </c>
      <c r="K262" s="97">
        <f t="shared" si="4"/>
        <v>1578.990229</v>
      </c>
      <c r="L262" s="97">
        <f t="shared" si="16"/>
        <v>392045.6102</v>
      </c>
      <c r="M262" s="97">
        <f t="shared" si="17"/>
        <v>425454.3898</v>
      </c>
      <c r="N262" s="235">
        <f t="shared" si="5"/>
        <v>629665.669</v>
      </c>
      <c r="O262" s="241" t="str">
        <f t="shared" si="14"/>
        <v/>
      </c>
      <c r="P262" s="242" t="str">
        <f t="shared" si="6"/>
        <v/>
      </c>
      <c r="Q262" s="242" t="str">
        <f t="shared" si="7"/>
        <v/>
      </c>
      <c r="R262" s="242" t="str">
        <f t="shared" si="8"/>
        <v/>
      </c>
      <c r="S262" s="242" t="str">
        <f t="shared" si="9"/>
        <v/>
      </c>
      <c r="T262" s="242" t="str">
        <f t="shared" si="10"/>
        <v/>
      </c>
      <c r="U262" s="242" t="str">
        <f t="shared" si="11"/>
        <v/>
      </c>
      <c r="V262" s="7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</row>
    <row r="263" ht="14.25" customHeight="1">
      <c r="A263" s="2"/>
      <c r="B263" s="2"/>
      <c r="C263" s="2"/>
      <c r="D263" s="2"/>
      <c r="E263" s="2"/>
      <c r="F263" s="2"/>
      <c r="G263" s="2"/>
      <c r="H263" s="125">
        <f t="shared" si="20"/>
        <v>247</v>
      </c>
      <c r="I263" s="97">
        <f t="shared" si="18"/>
        <v>4289.139272</v>
      </c>
      <c r="J263" s="97">
        <f t="shared" si="19"/>
        <v>2720.989639</v>
      </c>
      <c r="K263" s="97">
        <f t="shared" si="4"/>
        <v>1568.149632</v>
      </c>
      <c r="L263" s="97">
        <f t="shared" si="16"/>
        <v>389324.6206</v>
      </c>
      <c r="M263" s="97">
        <f t="shared" si="17"/>
        <v>428175.3794</v>
      </c>
      <c r="N263" s="235">
        <f t="shared" si="5"/>
        <v>631233.8186</v>
      </c>
      <c r="O263" s="241" t="str">
        <f t="shared" si="14"/>
        <v/>
      </c>
      <c r="P263" s="242" t="str">
        <f t="shared" si="6"/>
        <v/>
      </c>
      <c r="Q263" s="242" t="str">
        <f t="shared" si="7"/>
        <v/>
      </c>
      <c r="R263" s="242" t="str">
        <f t="shared" si="8"/>
        <v/>
      </c>
      <c r="S263" s="242" t="str">
        <f t="shared" si="9"/>
        <v/>
      </c>
      <c r="T263" s="242" t="str">
        <f t="shared" si="10"/>
        <v/>
      </c>
      <c r="U263" s="242" t="str">
        <f t="shared" si="11"/>
        <v/>
      </c>
      <c r="V263" s="7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</row>
    <row r="264" ht="14.25" customHeight="1">
      <c r="A264" s="2"/>
      <c r="B264" s="2"/>
      <c r="C264" s="2"/>
      <c r="D264" s="2"/>
      <c r="E264" s="2"/>
      <c r="F264" s="2"/>
      <c r="G264" s="2"/>
      <c r="H264" s="125">
        <f t="shared" si="20"/>
        <v>248</v>
      </c>
      <c r="I264" s="97">
        <f t="shared" si="18"/>
        <v>4289.139272</v>
      </c>
      <c r="J264" s="97">
        <f t="shared" si="19"/>
        <v>2731.873598</v>
      </c>
      <c r="K264" s="97">
        <f t="shared" si="4"/>
        <v>1557.265674</v>
      </c>
      <c r="L264" s="97">
        <f t="shared" si="16"/>
        <v>386592.747</v>
      </c>
      <c r="M264" s="97">
        <f t="shared" si="17"/>
        <v>430907.253</v>
      </c>
      <c r="N264" s="235">
        <f t="shared" si="5"/>
        <v>632791.0843</v>
      </c>
      <c r="O264" s="241" t="str">
        <f t="shared" si="14"/>
        <v/>
      </c>
      <c r="P264" s="242" t="str">
        <f t="shared" si="6"/>
        <v/>
      </c>
      <c r="Q264" s="242" t="str">
        <f t="shared" si="7"/>
        <v/>
      </c>
      <c r="R264" s="242" t="str">
        <f t="shared" si="8"/>
        <v/>
      </c>
      <c r="S264" s="242" t="str">
        <f t="shared" si="9"/>
        <v/>
      </c>
      <c r="T264" s="242" t="str">
        <f t="shared" si="10"/>
        <v/>
      </c>
      <c r="U264" s="242" t="str">
        <f t="shared" si="11"/>
        <v/>
      </c>
      <c r="V264" s="7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</row>
    <row r="265" ht="14.25" customHeight="1">
      <c r="A265" s="2"/>
      <c r="B265" s="2"/>
      <c r="C265" s="2"/>
      <c r="D265" s="2"/>
      <c r="E265" s="2"/>
      <c r="F265" s="2"/>
      <c r="G265" s="2"/>
      <c r="H265" s="125">
        <f t="shared" si="20"/>
        <v>249</v>
      </c>
      <c r="I265" s="97">
        <f t="shared" si="18"/>
        <v>4289.139272</v>
      </c>
      <c r="J265" s="97">
        <f t="shared" si="19"/>
        <v>2742.801092</v>
      </c>
      <c r="K265" s="97">
        <f t="shared" si="4"/>
        <v>1546.338179</v>
      </c>
      <c r="L265" s="97">
        <f t="shared" si="16"/>
        <v>383849.9459</v>
      </c>
      <c r="M265" s="97">
        <f t="shared" si="17"/>
        <v>433650.0541</v>
      </c>
      <c r="N265" s="235">
        <f t="shared" si="5"/>
        <v>634337.4224</v>
      </c>
      <c r="O265" s="241" t="str">
        <f t="shared" si="14"/>
        <v/>
      </c>
      <c r="P265" s="242" t="str">
        <f t="shared" si="6"/>
        <v/>
      </c>
      <c r="Q265" s="242" t="str">
        <f t="shared" si="7"/>
        <v/>
      </c>
      <c r="R265" s="242" t="str">
        <f t="shared" si="8"/>
        <v/>
      </c>
      <c r="S265" s="242" t="str">
        <f t="shared" si="9"/>
        <v/>
      </c>
      <c r="T265" s="242" t="str">
        <f t="shared" si="10"/>
        <v/>
      </c>
      <c r="U265" s="242" t="str">
        <f t="shared" si="11"/>
        <v/>
      </c>
      <c r="V265" s="7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</row>
    <row r="266" ht="14.25" customHeight="1">
      <c r="A266" s="2"/>
      <c r="B266" s="2"/>
      <c r="C266" s="2"/>
      <c r="D266" s="2"/>
      <c r="E266" s="2"/>
      <c r="F266" s="2"/>
      <c r="G266" s="2"/>
      <c r="H266" s="125">
        <f t="shared" si="20"/>
        <v>250</v>
      </c>
      <c r="I266" s="97">
        <f t="shared" si="18"/>
        <v>4289.139272</v>
      </c>
      <c r="J266" s="97">
        <f t="shared" si="19"/>
        <v>2753.772297</v>
      </c>
      <c r="K266" s="97">
        <f t="shared" si="4"/>
        <v>1535.366975</v>
      </c>
      <c r="L266" s="97">
        <f t="shared" si="16"/>
        <v>381096.1736</v>
      </c>
      <c r="M266" s="97">
        <f t="shared" si="17"/>
        <v>436403.8264</v>
      </c>
      <c r="N266" s="235">
        <f t="shared" si="5"/>
        <v>635872.7894</v>
      </c>
      <c r="O266" s="241" t="str">
        <f t="shared" si="14"/>
        <v/>
      </c>
      <c r="P266" s="242" t="str">
        <f t="shared" si="6"/>
        <v/>
      </c>
      <c r="Q266" s="242" t="str">
        <f t="shared" si="7"/>
        <v/>
      </c>
      <c r="R266" s="242" t="str">
        <f t="shared" si="8"/>
        <v/>
      </c>
      <c r="S266" s="242" t="str">
        <f t="shared" si="9"/>
        <v/>
      </c>
      <c r="T266" s="242" t="str">
        <f t="shared" si="10"/>
        <v/>
      </c>
      <c r="U266" s="242" t="str">
        <f t="shared" si="11"/>
        <v/>
      </c>
      <c r="V266" s="7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</row>
    <row r="267" ht="14.25" customHeight="1">
      <c r="A267" s="2"/>
      <c r="B267" s="2"/>
      <c r="C267" s="2"/>
      <c r="D267" s="2"/>
      <c r="E267" s="2"/>
      <c r="F267" s="2"/>
      <c r="G267" s="2"/>
      <c r="H267" s="125">
        <f t="shared" si="20"/>
        <v>251</v>
      </c>
      <c r="I267" s="97">
        <f t="shared" si="18"/>
        <v>4289.139272</v>
      </c>
      <c r="J267" s="97">
        <f t="shared" si="19"/>
        <v>2764.787386</v>
      </c>
      <c r="K267" s="97">
        <f t="shared" si="4"/>
        <v>1524.351886</v>
      </c>
      <c r="L267" s="97">
        <f t="shared" si="16"/>
        <v>378331.3862</v>
      </c>
      <c r="M267" s="97">
        <f t="shared" si="17"/>
        <v>439168.6138</v>
      </c>
      <c r="N267" s="235">
        <f t="shared" si="5"/>
        <v>637397.1413</v>
      </c>
      <c r="O267" s="241" t="str">
        <f t="shared" si="14"/>
        <v/>
      </c>
      <c r="P267" s="242" t="str">
        <f t="shared" si="6"/>
        <v/>
      </c>
      <c r="Q267" s="242" t="str">
        <f t="shared" si="7"/>
        <v/>
      </c>
      <c r="R267" s="242" t="str">
        <f t="shared" si="8"/>
        <v/>
      </c>
      <c r="S267" s="242" t="str">
        <f t="shared" si="9"/>
        <v/>
      </c>
      <c r="T267" s="242" t="str">
        <f t="shared" si="10"/>
        <v/>
      </c>
      <c r="U267" s="242" t="str">
        <f t="shared" si="11"/>
        <v/>
      </c>
      <c r="V267" s="7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</row>
    <row r="268" ht="14.25" customHeight="1">
      <c r="A268" s="2"/>
      <c r="B268" s="2"/>
      <c r="C268" s="2"/>
      <c r="D268" s="2"/>
      <c r="E268" s="2"/>
      <c r="F268" s="2"/>
      <c r="G268" s="2"/>
      <c r="H268" s="125">
        <f t="shared" si="20"/>
        <v>252</v>
      </c>
      <c r="I268" s="97">
        <f t="shared" si="18"/>
        <v>4289.139272</v>
      </c>
      <c r="J268" s="97">
        <f t="shared" si="19"/>
        <v>2775.846535</v>
      </c>
      <c r="K268" s="97">
        <f t="shared" si="4"/>
        <v>1513.292736</v>
      </c>
      <c r="L268" s="97">
        <f t="shared" si="16"/>
        <v>375555.5397</v>
      </c>
      <c r="M268" s="97">
        <f t="shared" si="17"/>
        <v>441944.4603</v>
      </c>
      <c r="N268" s="235">
        <f t="shared" si="5"/>
        <v>638910.434</v>
      </c>
      <c r="O268" s="241" t="str">
        <f t="shared" si="14"/>
        <v/>
      </c>
      <c r="P268" s="242" t="str">
        <f t="shared" si="6"/>
        <v/>
      </c>
      <c r="Q268" s="242" t="str">
        <f t="shared" si="7"/>
        <v/>
      </c>
      <c r="R268" s="242" t="str">
        <f t="shared" si="8"/>
        <v/>
      </c>
      <c r="S268" s="242" t="str">
        <f t="shared" si="9"/>
        <v/>
      </c>
      <c r="T268" s="242" t="str">
        <f t="shared" si="10"/>
        <v/>
      </c>
      <c r="U268" s="242" t="str">
        <f t="shared" si="11"/>
        <v/>
      </c>
      <c r="V268" s="7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</row>
    <row r="269" ht="14.25" customHeight="1">
      <c r="A269" s="2"/>
      <c r="B269" s="2"/>
      <c r="C269" s="2"/>
      <c r="D269" s="2"/>
      <c r="E269" s="2"/>
      <c r="F269" s="2"/>
      <c r="G269" s="2"/>
      <c r="H269" s="125">
        <f t="shared" si="20"/>
        <v>253</v>
      </c>
      <c r="I269" s="97">
        <f t="shared" si="18"/>
        <v>4289.139272</v>
      </c>
      <c r="J269" s="97">
        <f t="shared" si="19"/>
        <v>2786.949922</v>
      </c>
      <c r="K269" s="97">
        <f t="shared" si="4"/>
        <v>1502.18935</v>
      </c>
      <c r="L269" s="97">
        <f t="shared" si="16"/>
        <v>372768.5897</v>
      </c>
      <c r="M269" s="97">
        <f t="shared" si="17"/>
        <v>444731.4103</v>
      </c>
      <c r="N269" s="235">
        <f t="shared" si="5"/>
        <v>640412.6234</v>
      </c>
      <c r="O269" s="241" t="str">
        <f t="shared" si="14"/>
        <v/>
      </c>
      <c r="P269" s="242" t="str">
        <f t="shared" si="6"/>
        <v/>
      </c>
      <c r="Q269" s="242" t="str">
        <f t="shared" si="7"/>
        <v/>
      </c>
      <c r="R269" s="242" t="str">
        <f t="shared" si="8"/>
        <v/>
      </c>
      <c r="S269" s="242" t="str">
        <f t="shared" si="9"/>
        <v/>
      </c>
      <c r="T269" s="242" t="str">
        <f t="shared" si="10"/>
        <v/>
      </c>
      <c r="U269" s="242" t="str">
        <f t="shared" si="11"/>
        <v/>
      </c>
      <c r="V269" s="7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</row>
    <row r="270" ht="14.25" customHeight="1">
      <c r="A270" s="2"/>
      <c r="B270" s="2"/>
      <c r="C270" s="2"/>
      <c r="D270" s="2"/>
      <c r="E270" s="2"/>
      <c r="F270" s="2"/>
      <c r="G270" s="2"/>
      <c r="H270" s="125">
        <f t="shared" si="20"/>
        <v>254</v>
      </c>
      <c r="I270" s="97">
        <f t="shared" si="18"/>
        <v>4289.139272</v>
      </c>
      <c r="J270" s="97">
        <f t="shared" si="19"/>
        <v>2798.097721</v>
      </c>
      <c r="K270" s="97">
        <f t="shared" si="4"/>
        <v>1491.041551</v>
      </c>
      <c r="L270" s="97">
        <f t="shared" si="16"/>
        <v>369970.492</v>
      </c>
      <c r="M270" s="97">
        <f t="shared" si="17"/>
        <v>447529.508</v>
      </c>
      <c r="N270" s="235">
        <f t="shared" si="5"/>
        <v>641903.6649</v>
      </c>
      <c r="O270" s="241" t="str">
        <f t="shared" si="14"/>
        <v/>
      </c>
      <c r="P270" s="242" t="str">
        <f t="shared" si="6"/>
        <v/>
      </c>
      <c r="Q270" s="242" t="str">
        <f t="shared" si="7"/>
        <v/>
      </c>
      <c r="R270" s="242" t="str">
        <f t="shared" si="8"/>
        <v/>
      </c>
      <c r="S270" s="242" t="str">
        <f t="shared" si="9"/>
        <v/>
      </c>
      <c r="T270" s="242" t="str">
        <f t="shared" si="10"/>
        <v/>
      </c>
      <c r="U270" s="242" t="str">
        <f t="shared" si="11"/>
        <v/>
      </c>
      <c r="V270" s="7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</row>
    <row r="271" ht="14.25" customHeight="1">
      <c r="A271" s="2"/>
      <c r="B271" s="2"/>
      <c r="C271" s="2"/>
      <c r="D271" s="2"/>
      <c r="E271" s="2"/>
      <c r="F271" s="2"/>
      <c r="G271" s="2"/>
      <c r="H271" s="125">
        <f t="shared" si="20"/>
        <v>255</v>
      </c>
      <c r="I271" s="97">
        <f t="shared" si="18"/>
        <v>4289.139272</v>
      </c>
      <c r="J271" s="97">
        <f t="shared" si="19"/>
        <v>2809.290112</v>
      </c>
      <c r="K271" s="97">
        <f t="shared" si="4"/>
        <v>1479.84916</v>
      </c>
      <c r="L271" s="97">
        <f t="shared" si="16"/>
        <v>367161.2019</v>
      </c>
      <c r="M271" s="97">
        <f t="shared" si="17"/>
        <v>450338.7981</v>
      </c>
      <c r="N271" s="235">
        <f t="shared" si="5"/>
        <v>643383.5141</v>
      </c>
      <c r="O271" s="241" t="str">
        <f t="shared" si="14"/>
        <v/>
      </c>
      <c r="P271" s="242" t="str">
        <f t="shared" si="6"/>
        <v/>
      </c>
      <c r="Q271" s="242" t="str">
        <f t="shared" si="7"/>
        <v/>
      </c>
      <c r="R271" s="242" t="str">
        <f t="shared" si="8"/>
        <v/>
      </c>
      <c r="S271" s="242" t="str">
        <f t="shared" si="9"/>
        <v/>
      </c>
      <c r="T271" s="242" t="str">
        <f t="shared" si="10"/>
        <v/>
      </c>
      <c r="U271" s="242" t="str">
        <f t="shared" si="11"/>
        <v/>
      </c>
      <c r="V271" s="7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</row>
    <row r="272" ht="14.25" customHeight="1">
      <c r="A272" s="2"/>
      <c r="B272" s="2"/>
      <c r="C272" s="2"/>
      <c r="D272" s="2"/>
      <c r="E272" s="2"/>
      <c r="F272" s="2"/>
      <c r="G272" s="2"/>
      <c r="H272" s="125">
        <f t="shared" si="20"/>
        <v>256</v>
      </c>
      <c r="I272" s="97">
        <f t="shared" si="18"/>
        <v>4289.139272</v>
      </c>
      <c r="J272" s="97">
        <f t="shared" si="19"/>
        <v>2820.527273</v>
      </c>
      <c r="K272" s="97">
        <f t="shared" si="4"/>
        <v>1468.611999</v>
      </c>
      <c r="L272" s="97">
        <f t="shared" si="16"/>
        <v>364340.6746</v>
      </c>
      <c r="M272" s="97">
        <f t="shared" si="17"/>
        <v>453159.3254</v>
      </c>
      <c r="N272" s="235">
        <f t="shared" si="5"/>
        <v>644852.1261</v>
      </c>
      <c r="O272" s="241" t="str">
        <f t="shared" si="14"/>
        <v/>
      </c>
      <c r="P272" s="242" t="str">
        <f t="shared" si="6"/>
        <v/>
      </c>
      <c r="Q272" s="242" t="str">
        <f t="shared" si="7"/>
        <v/>
      </c>
      <c r="R272" s="242" t="str">
        <f t="shared" si="8"/>
        <v/>
      </c>
      <c r="S272" s="242" t="str">
        <f t="shared" si="9"/>
        <v/>
      </c>
      <c r="T272" s="242" t="str">
        <f t="shared" si="10"/>
        <v/>
      </c>
      <c r="U272" s="242" t="str">
        <f t="shared" si="11"/>
        <v/>
      </c>
      <c r="V272" s="7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</row>
    <row r="273" ht="14.25" customHeight="1">
      <c r="A273" s="2"/>
      <c r="B273" s="2"/>
      <c r="C273" s="2"/>
      <c r="D273" s="2"/>
      <c r="E273" s="2"/>
      <c r="F273" s="2"/>
      <c r="G273" s="2"/>
      <c r="H273" s="125">
        <f t="shared" si="20"/>
        <v>257</v>
      </c>
      <c r="I273" s="97">
        <f t="shared" si="18"/>
        <v>4289.139272</v>
      </c>
      <c r="J273" s="97">
        <f t="shared" si="19"/>
        <v>2831.809382</v>
      </c>
      <c r="K273" s="97">
        <f t="shared" si="4"/>
        <v>1457.32989</v>
      </c>
      <c r="L273" s="97">
        <f t="shared" si="16"/>
        <v>361508.8652</v>
      </c>
      <c r="M273" s="97">
        <f t="shared" si="17"/>
        <v>455991.1348</v>
      </c>
      <c r="N273" s="235">
        <f t="shared" si="5"/>
        <v>646309.456</v>
      </c>
      <c r="O273" s="241" t="str">
        <f t="shared" si="14"/>
        <v/>
      </c>
      <c r="P273" s="242" t="str">
        <f t="shared" si="6"/>
        <v/>
      </c>
      <c r="Q273" s="242" t="str">
        <f t="shared" si="7"/>
        <v/>
      </c>
      <c r="R273" s="242" t="str">
        <f t="shared" si="8"/>
        <v/>
      </c>
      <c r="S273" s="242" t="str">
        <f t="shared" si="9"/>
        <v/>
      </c>
      <c r="T273" s="242" t="str">
        <f t="shared" si="10"/>
        <v/>
      </c>
      <c r="U273" s="242" t="str">
        <f t="shared" si="11"/>
        <v/>
      </c>
      <c r="V273" s="7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</row>
    <row r="274" ht="14.25" customHeight="1">
      <c r="A274" s="2"/>
      <c r="B274" s="2"/>
      <c r="C274" s="2"/>
      <c r="D274" s="2"/>
      <c r="E274" s="2"/>
      <c r="F274" s="2"/>
      <c r="G274" s="2"/>
      <c r="H274" s="125">
        <f t="shared" si="20"/>
        <v>258</v>
      </c>
      <c r="I274" s="97">
        <f t="shared" si="18"/>
        <v>4289.139272</v>
      </c>
      <c r="J274" s="97">
        <f t="shared" si="19"/>
        <v>2843.136619</v>
      </c>
      <c r="K274" s="97">
        <f t="shared" si="4"/>
        <v>1446.002653</v>
      </c>
      <c r="L274" s="97">
        <f t="shared" si="16"/>
        <v>358665.7286</v>
      </c>
      <c r="M274" s="97">
        <f t="shared" si="17"/>
        <v>458834.2714</v>
      </c>
      <c r="N274" s="235">
        <f t="shared" si="5"/>
        <v>647755.4586</v>
      </c>
      <c r="O274" s="241" t="str">
        <f t="shared" si="14"/>
        <v/>
      </c>
      <c r="P274" s="242" t="str">
        <f t="shared" si="6"/>
        <v/>
      </c>
      <c r="Q274" s="242" t="str">
        <f t="shared" si="7"/>
        <v/>
      </c>
      <c r="R274" s="242" t="str">
        <f t="shared" si="8"/>
        <v/>
      </c>
      <c r="S274" s="242" t="str">
        <f t="shared" si="9"/>
        <v/>
      </c>
      <c r="T274" s="242" t="str">
        <f t="shared" si="10"/>
        <v/>
      </c>
      <c r="U274" s="242" t="str">
        <f t="shared" si="11"/>
        <v/>
      </c>
      <c r="V274" s="7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</row>
    <row r="275" ht="14.25" customHeight="1">
      <c r="A275" s="2"/>
      <c r="B275" s="2"/>
      <c r="C275" s="2"/>
      <c r="D275" s="2"/>
      <c r="E275" s="2"/>
      <c r="F275" s="2"/>
      <c r="G275" s="2"/>
      <c r="H275" s="125">
        <f t="shared" si="20"/>
        <v>259</v>
      </c>
      <c r="I275" s="97">
        <f t="shared" si="18"/>
        <v>4289.139272</v>
      </c>
      <c r="J275" s="97">
        <f t="shared" si="19"/>
        <v>2854.509166</v>
      </c>
      <c r="K275" s="97">
        <f t="shared" si="4"/>
        <v>1434.630106</v>
      </c>
      <c r="L275" s="97">
        <f t="shared" si="16"/>
        <v>355811.2195</v>
      </c>
      <c r="M275" s="97">
        <f t="shared" si="17"/>
        <v>461688.7805</v>
      </c>
      <c r="N275" s="235">
        <f t="shared" si="5"/>
        <v>649190.0887</v>
      </c>
      <c r="O275" s="241" t="str">
        <f t="shared" si="14"/>
        <v/>
      </c>
      <c r="P275" s="242" t="str">
        <f t="shared" si="6"/>
        <v/>
      </c>
      <c r="Q275" s="242" t="str">
        <f t="shared" si="7"/>
        <v/>
      </c>
      <c r="R275" s="242" t="str">
        <f t="shared" si="8"/>
        <v/>
      </c>
      <c r="S275" s="242" t="str">
        <f t="shared" si="9"/>
        <v/>
      </c>
      <c r="T275" s="242" t="str">
        <f t="shared" si="10"/>
        <v/>
      </c>
      <c r="U275" s="242" t="str">
        <f t="shared" si="11"/>
        <v/>
      </c>
      <c r="V275" s="7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</row>
    <row r="276" ht="14.25" customHeight="1">
      <c r="A276" s="2"/>
      <c r="B276" s="2"/>
      <c r="C276" s="2"/>
      <c r="D276" s="2"/>
      <c r="E276" s="2"/>
      <c r="F276" s="2"/>
      <c r="G276" s="2"/>
      <c r="H276" s="125">
        <f t="shared" si="20"/>
        <v>260</v>
      </c>
      <c r="I276" s="97">
        <f t="shared" si="18"/>
        <v>4289.139272</v>
      </c>
      <c r="J276" s="97">
        <f t="shared" si="19"/>
        <v>2865.927202</v>
      </c>
      <c r="K276" s="97">
        <f t="shared" si="4"/>
        <v>1423.212069</v>
      </c>
      <c r="L276" s="97">
        <f t="shared" si="16"/>
        <v>352945.2923</v>
      </c>
      <c r="M276" s="97">
        <f t="shared" si="17"/>
        <v>464554.7077</v>
      </c>
      <c r="N276" s="235">
        <f t="shared" si="5"/>
        <v>650613.3008</v>
      </c>
      <c r="O276" s="241" t="str">
        <f t="shared" si="14"/>
        <v/>
      </c>
      <c r="P276" s="242" t="str">
        <f t="shared" si="6"/>
        <v/>
      </c>
      <c r="Q276" s="242" t="str">
        <f t="shared" si="7"/>
        <v/>
      </c>
      <c r="R276" s="242" t="str">
        <f t="shared" si="8"/>
        <v/>
      </c>
      <c r="S276" s="242" t="str">
        <f t="shared" si="9"/>
        <v/>
      </c>
      <c r="T276" s="242" t="str">
        <f t="shared" si="10"/>
        <v/>
      </c>
      <c r="U276" s="242" t="str">
        <f t="shared" si="11"/>
        <v/>
      </c>
      <c r="V276" s="7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</row>
    <row r="277" ht="14.25" customHeight="1">
      <c r="A277" s="2"/>
      <c r="B277" s="2"/>
      <c r="C277" s="2"/>
      <c r="D277" s="2"/>
      <c r="E277" s="2"/>
      <c r="F277" s="2"/>
      <c r="G277" s="2"/>
      <c r="H277" s="125">
        <f t="shared" si="20"/>
        <v>261</v>
      </c>
      <c r="I277" s="97">
        <f t="shared" si="18"/>
        <v>4289.139272</v>
      </c>
      <c r="J277" s="97">
        <f t="shared" si="19"/>
        <v>2877.390911</v>
      </c>
      <c r="K277" s="97">
        <f t="shared" si="4"/>
        <v>1411.748361</v>
      </c>
      <c r="L277" s="97">
        <f t="shared" si="16"/>
        <v>350067.9013</v>
      </c>
      <c r="M277" s="97">
        <f t="shared" si="17"/>
        <v>467432.0987</v>
      </c>
      <c r="N277" s="235">
        <f t="shared" si="5"/>
        <v>652025.0492</v>
      </c>
      <c r="O277" s="241" t="str">
        <f t="shared" si="14"/>
        <v/>
      </c>
      <c r="P277" s="242" t="str">
        <f t="shared" si="6"/>
        <v/>
      </c>
      <c r="Q277" s="242" t="str">
        <f t="shared" si="7"/>
        <v/>
      </c>
      <c r="R277" s="242" t="str">
        <f t="shared" si="8"/>
        <v/>
      </c>
      <c r="S277" s="242" t="str">
        <f t="shared" si="9"/>
        <v/>
      </c>
      <c r="T277" s="242" t="str">
        <f t="shared" si="10"/>
        <v/>
      </c>
      <c r="U277" s="242" t="str">
        <f t="shared" si="11"/>
        <v/>
      </c>
      <c r="V277" s="7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</row>
    <row r="278" ht="14.25" customHeight="1">
      <c r="A278" s="2"/>
      <c r="B278" s="2"/>
      <c r="C278" s="2"/>
      <c r="D278" s="2"/>
      <c r="E278" s="2"/>
      <c r="F278" s="2"/>
      <c r="G278" s="2"/>
      <c r="H278" s="125">
        <f t="shared" si="20"/>
        <v>262</v>
      </c>
      <c r="I278" s="97">
        <f t="shared" si="18"/>
        <v>4289.139272</v>
      </c>
      <c r="J278" s="97">
        <f t="shared" si="19"/>
        <v>2888.900475</v>
      </c>
      <c r="K278" s="97">
        <f t="shared" si="4"/>
        <v>1400.238797</v>
      </c>
      <c r="L278" s="97">
        <f t="shared" si="16"/>
        <v>347179.0009</v>
      </c>
      <c r="M278" s="97">
        <f t="shared" si="17"/>
        <v>470320.9991</v>
      </c>
      <c r="N278" s="235">
        <f t="shared" si="5"/>
        <v>653425.288</v>
      </c>
      <c r="O278" s="241" t="str">
        <f t="shared" si="14"/>
        <v/>
      </c>
      <c r="P278" s="242" t="str">
        <f t="shared" si="6"/>
        <v/>
      </c>
      <c r="Q278" s="242" t="str">
        <f t="shared" si="7"/>
        <v/>
      </c>
      <c r="R278" s="242" t="str">
        <f t="shared" si="8"/>
        <v/>
      </c>
      <c r="S278" s="242" t="str">
        <f t="shared" si="9"/>
        <v/>
      </c>
      <c r="T278" s="242" t="str">
        <f t="shared" si="10"/>
        <v/>
      </c>
      <c r="U278" s="242" t="str">
        <f t="shared" si="11"/>
        <v/>
      </c>
      <c r="V278" s="7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</row>
    <row r="279" ht="14.25" customHeight="1">
      <c r="A279" s="2"/>
      <c r="B279" s="2"/>
      <c r="C279" s="2"/>
      <c r="D279" s="2"/>
      <c r="E279" s="2"/>
      <c r="F279" s="2"/>
      <c r="G279" s="2"/>
      <c r="H279" s="125">
        <f t="shared" si="20"/>
        <v>263</v>
      </c>
      <c r="I279" s="97">
        <f t="shared" si="18"/>
        <v>4289.139272</v>
      </c>
      <c r="J279" s="97">
        <f t="shared" si="19"/>
        <v>2900.456077</v>
      </c>
      <c r="K279" s="97">
        <f t="shared" si="4"/>
        <v>1388.683195</v>
      </c>
      <c r="L279" s="97">
        <f t="shared" si="16"/>
        <v>344278.5448</v>
      </c>
      <c r="M279" s="97">
        <f t="shared" si="17"/>
        <v>473221.4552</v>
      </c>
      <c r="N279" s="235">
        <f t="shared" si="5"/>
        <v>654813.9712</v>
      </c>
      <c r="O279" s="241" t="str">
        <f t="shared" si="14"/>
        <v/>
      </c>
      <c r="P279" s="242" t="str">
        <f t="shared" si="6"/>
        <v/>
      </c>
      <c r="Q279" s="242" t="str">
        <f t="shared" si="7"/>
        <v/>
      </c>
      <c r="R279" s="242" t="str">
        <f t="shared" si="8"/>
        <v/>
      </c>
      <c r="S279" s="242" t="str">
        <f t="shared" si="9"/>
        <v/>
      </c>
      <c r="T279" s="242" t="str">
        <f t="shared" si="10"/>
        <v/>
      </c>
      <c r="U279" s="242" t="str">
        <f t="shared" si="11"/>
        <v/>
      </c>
      <c r="V279" s="7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</row>
    <row r="280" ht="14.25" customHeight="1">
      <c r="A280" s="2"/>
      <c r="B280" s="2"/>
      <c r="C280" s="2"/>
      <c r="D280" s="2"/>
      <c r="E280" s="2"/>
      <c r="F280" s="2"/>
      <c r="G280" s="2"/>
      <c r="H280" s="125">
        <f t="shared" si="20"/>
        <v>264</v>
      </c>
      <c r="I280" s="97">
        <f t="shared" si="18"/>
        <v>4289.139272</v>
      </c>
      <c r="J280" s="97">
        <f t="shared" si="19"/>
        <v>2912.057901</v>
      </c>
      <c r="K280" s="97">
        <f t="shared" si="4"/>
        <v>1377.081371</v>
      </c>
      <c r="L280" s="97">
        <f t="shared" si="16"/>
        <v>341366.4869</v>
      </c>
      <c r="M280" s="97">
        <f t="shared" si="17"/>
        <v>476133.5131</v>
      </c>
      <c r="N280" s="235">
        <f t="shared" si="5"/>
        <v>656191.0525</v>
      </c>
      <c r="O280" s="241" t="str">
        <f t="shared" si="14"/>
        <v/>
      </c>
      <c r="P280" s="242" t="str">
        <f t="shared" si="6"/>
        <v/>
      </c>
      <c r="Q280" s="242" t="str">
        <f t="shared" si="7"/>
        <v/>
      </c>
      <c r="R280" s="242" t="str">
        <f t="shared" si="8"/>
        <v/>
      </c>
      <c r="S280" s="242" t="str">
        <f t="shared" si="9"/>
        <v/>
      </c>
      <c r="T280" s="242" t="str">
        <f t="shared" si="10"/>
        <v/>
      </c>
      <c r="U280" s="242" t="str">
        <f t="shared" si="11"/>
        <v/>
      </c>
      <c r="V280" s="7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</row>
    <row r="281" ht="14.25" customHeight="1">
      <c r="A281" s="2"/>
      <c r="B281" s="2"/>
      <c r="C281" s="2"/>
      <c r="D281" s="2"/>
      <c r="E281" s="2"/>
      <c r="F281" s="2"/>
      <c r="G281" s="2"/>
      <c r="H281" s="125">
        <f t="shared" si="20"/>
        <v>265</v>
      </c>
      <c r="I281" s="97">
        <f t="shared" si="18"/>
        <v>4289.139272</v>
      </c>
      <c r="J281" s="97">
        <f t="shared" si="19"/>
        <v>2923.706133</v>
      </c>
      <c r="K281" s="97">
        <f t="shared" si="4"/>
        <v>1365.433139</v>
      </c>
      <c r="L281" s="97">
        <f t="shared" si="16"/>
        <v>338442.7808</v>
      </c>
      <c r="M281" s="97">
        <f t="shared" si="17"/>
        <v>479057.2192</v>
      </c>
      <c r="N281" s="235">
        <f t="shared" si="5"/>
        <v>657556.4857</v>
      </c>
      <c r="O281" s="241" t="str">
        <f t="shared" si="14"/>
        <v/>
      </c>
      <c r="P281" s="242" t="str">
        <f t="shared" si="6"/>
        <v/>
      </c>
      <c r="Q281" s="242" t="str">
        <f t="shared" si="7"/>
        <v/>
      </c>
      <c r="R281" s="242" t="str">
        <f t="shared" si="8"/>
        <v/>
      </c>
      <c r="S281" s="242" t="str">
        <f t="shared" si="9"/>
        <v/>
      </c>
      <c r="T281" s="242" t="str">
        <f t="shared" si="10"/>
        <v/>
      </c>
      <c r="U281" s="242" t="str">
        <f t="shared" si="11"/>
        <v/>
      </c>
      <c r="V281" s="7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</row>
    <row r="282" ht="14.25" customHeight="1">
      <c r="A282" s="2"/>
      <c r="B282" s="2"/>
      <c r="C282" s="2"/>
      <c r="D282" s="2"/>
      <c r="E282" s="2"/>
      <c r="F282" s="2"/>
      <c r="G282" s="2"/>
      <c r="H282" s="125">
        <f t="shared" si="20"/>
        <v>266</v>
      </c>
      <c r="I282" s="97">
        <f t="shared" si="18"/>
        <v>4289.139272</v>
      </c>
      <c r="J282" s="97">
        <f t="shared" si="19"/>
        <v>2935.400957</v>
      </c>
      <c r="K282" s="97">
        <f t="shared" si="4"/>
        <v>1353.738315</v>
      </c>
      <c r="L282" s="97">
        <f t="shared" si="16"/>
        <v>335507.3798</v>
      </c>
      <c r="M282" s="97">
        <f t="shared" si="17"/>
        <v>481992.6202</v>
      </c>
      <c r="N282" s="235">
        <f t="shared" si="5"/>
        <v>658910.224</v>
      </c>
      <c r="O282" s="241" t="str">
        <f t="shared" si="14"/>
        <v/>
      </c>
      <c r="P282" s="242" t="str">
        <f t="shared" si="6"/>
        <v/>
      </c>
      <c r="Q282" s="242" t="str">
        <f t="shared" si="7"/>
        <v/>
      </c>
      <c r="R282" s="242" t="str">
        <f t="shared" si="8"/>
        <v/>
      </c>
      <c r="S282" s="242" t="str">
        <f t="shared" si="9"/>
        <v/>
      </c>
      <c r="T282" s="242" t="str">
        <f t="shared" si="10"/>
        <v/>
      </c>
      <c r="U282" s="242" t="str">
        <f t="shared" si="11"/>
        <v/>
      </c>
      <c r="V282" s="7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</row>
    <row r="283" ht="14.25" customHeight="1">
      <c r="A283" s="2"/>
      <c r="B283" s="2"/>
      <c r="C283" s="2"/>
      <c r="D283" s="2"/>
      <c r="E283" s="2"/>
      <c r="F283" s="2"/>
      <c r="G283" s="2"/>
      <c r="H283" s="125">
        <f t="shared" si="20"/>
        <v>267</v>
      </c>
      <c r="I283" s="97">
        <f t="shared" si="18"/>
        <v>4289.139272</v>
      </c>
      <c r="J283" s="97">
        <f t="shared" si="19"/>
        <v>2947.142561</v>
      </c>
      <c r="K283" s="97">
        <f t="shared" si="4"/>
        <v>1341.996711</v>
      </c>
      <c r="L283" s="97">
        <f t="shared" si="16"/>
        <v>332560.2372</v>
      </c>
      <c r="M283" s="97">
        <f t="shared" si="17"/>
        <v>484939.7628</v>
      </c>
      <c r="N283" s="235">
        <f t="shared" si="5"/>
        <v>660252.2207</v>
      </c>
      <c r="O283" s="241" t="str">
        <f t="shared" si="14"/>
        <v/>
      </c>
      <c r="P283" s="242" t="str">
        <f t="shared" si="6"/>
        <v/>
      </c>
      <c r="Q283" s="242" t="str">
        <f t="shared" si="7"/>
        <v/>
      </c>
      <c r="R283" s="242" t="str">
        <f t="shared" si="8"/>
        <v/>
      </c>
      <c r="S283" s="242" t="str">
        <f t="shared" si="9"/>
        <v/>
      </c>
      <c r="T283" s="242" t="str">
        <f t="shared" si="10"/>
        <v/>
      </c>
      <c r="U283" s="242" t="str">
        <f t="shared" si="11"/>
        <v/>
      </c>
      <c r="V283" s="7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</row>
    <row r="284" ht="14.25" customHeight="1">
      <c r="A284" s="2"/>
      <c r="B284" s="2"/>
      <c r="C284" s="2"/>
      <c r="D284" s="2"/>
      <c r="E284" s="2"/>
      <c r="F284" s="2"/>
      <c r="G284" s="2"/>
      <c r="H284" s="125">
        <f t="shared" si="20"/>
        <v>268</v>
      </c>
      <c r="I284" s="97">
        <f t="shared" si="18"/>
        <v>4289.139272</v>
      </c>
      <c r="J284" s="97">
        <f t="shared" si="19"/>
        <v>2958.931131</v>
      </c>
      <c r="K284" s="97">
        <f t="shared" si="4"/>
        <v>1330.208141</v>
      </c>
      <c r="L284" s="97">
        <f t="shared" si="16"/>
        <v>329601.3061</v>
      </c>
      <c r="M284" s="97">
        <f t="shared" si="17"/>
        <v>487898.6939</v>
      </c>
      <c r="N284" s="235">
        <f t="shared" si="5"/>
        <v>661582.4288</v>
      </c>
      <c r="O284" s="241" t="str">
        <f t="shared" si="14"/>
        <v/>
      </c>
      <c r="P284" s="242" t="str">
        <f t="shared" si="6"/>
        <v/>
      </c>
      <c r="Q284" s="242" t="str">
        <f t="shared" si="7"/>
        <v/>
      </c>
      <c r="R284" s="242" t="str">
        <f t="shared" si="8"/>
        <v/>
      </c>
      <c r="S284" s="242" t="str">
        <f t="shared" si="9"/>
        <v/>
      </c>
      <c r="T284" s="242" t="str">
        <f t="shared" si="10"/>
        <v/>
      </c>
      <c r="U284" s="242" t="str">
        <f t="shared" si="11"/>
        <v/>
      </c>
      <c r="V284" s="7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</row>
    <row r="285" ht="14.25" customHeight="1">
      <c r="A285" s="2"/>
      <c r="B285" s="2"/>
      <c r="C285" s="2"/>
      <c r="D285" s="2"/>
      <c r="E285" s="2"/>
      <c r="F285" s="2"/>
      <c r="G285" s="2"/>
      <c r="H285" s="125">
        <f t="shared" si="20"/>
        <v>269</v>
      </c>
      <c r="I285" s="97">
        <f t="shared" si="18"/>
        <v>4289.139272</v>
      </c>
      <c r="J285" s="97">
        <f t="shared" si="19"/>
        <v>2970.766856</v>
      </c>
      <c r="K285" s="97">
        <f t="shared" si="4"/>
        <v>1318.372416</v>
      </c>
      <c r="L285" s="97">
        <f t="shared" si="16"/>
        <v>326630.5393</v>
      </c>
      <c r="M285" s="97">
        <f t="shared" si="17"/>
        <v>490869.4607</v>
      </c>
      <c r="N285" s="235">
        <f t="shared" si="5"/>
        <v>662900.8013</v>
      </c>
      <c r="O285" s="241" t="str">
        <f t="shared" si="14"/>
        <v/>
      </c>
      <c r="P285" s="242" t="str">
        <f t="shared" si="6"/>
        <v/>
      </c>
      <c r="Q285" s="242" t="str">
        <f t="shared" si="7"/>
        <v/>
      </c>
      <c r="R285" s="242" t="str">
        <f t="shared" si="8"/>
        <v/>
      </c>
      <c r="S285" s="242" t="str">
        <f t="shared" si="9"/>
        <v/>
      </c>
      <c r="T285" s="242" t="str">
        <f t="shared" si="10"/>
        <v/>
      </c>
      <c r="U285" s="242" t="str">
        <f t="shared" si="11"/>
        <v/>
      </c>
      <c r="V285" s="7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</row>
    <row r="286" ht="14.25" customHeight="1">
      <c r="A286" s="2"/>
      <c r="B286" s="2"/>
      <c r="C286" s="2"/>
      <c r="D286" s="2"/>
      <c r="E286" s="2"/>
      <c r="F286" s="2"/>
      <c r="G286" s="2"/>
      <c r="H286" s="125">
        <f t="shared" si="20"/>
        <v>270</v>
      </c>
      <c r="I286" s="97">
        <f t="shared" si="18"/>
        <v>4289.139272</v>
      </c>
      <c r="J286" s="97">
        <f t="shared" si="19"/>
        <v>2982.649923</v>
      </c>
      <c r="K286" s="97">
        <f t="shared" si="4"/>
        <v>1306.489349</v>
      </c>
      <c r="L286" s="97">
        <f t="shared" si="16"/>
        <v>323647.8893</v>
      </c>
      <c r="M286" s="97">
        <f t="shared" si="17"/>
        <v>493852.1107</v>
      </c>
      <c r="N286" s="235">
        <f t="shared" si="5"/>
        <v>664207.2906</v>
      </c>
      <c r="O286" s="241" t="str">
        <f t="shared" si="14"/>
        <v/>
      </c>
      <c r="P286" s="242" t="str">
        <f t="shared" si="6"/>
        <v/>
      </c>
      <c r="Q286" s="242" t="str">
        <f t="shared" si="7"/>
        <v/>
      </c>
      <c r="R286" s="242" t="str">
        <f t="shared" si="8"/>
        <v/>
      </c>
      <c r="S286" s="242" t="str">
        <f t="shared" si="9"/>
        <v/>
      </c>
      <c r="T286" s="242" t="str">
        <f t="shared" si="10"/>
        <v/>
      </c>
      <c r="U286" s="242" t="str">
        <f t="shared" si="11"/>
        <v/>
      </c>
      <c r="V286" s="7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</row>
    <row r="287" ht="14.25" customHeight="1">
      <c r="A287" s="2"/>
      <c r="B287" s="2"/>
      <c r="C287" s="2"/>
      <c r="D287" s="2"/>
      <c r="E287" s="2"/>
      <c r="F287" s="2"/>
      <c r="G287" s="2"/>
      <c r="H287" s="125">
        <f t="shared" si="20"/>
        <v>271</v>
      </c>
      <c r="I287" s="97">
        <f t="shared" si="18"/>
        <v>4289.139272</v>
      </c>
      <c r="J287" s="97">
        <f t="shared" si="19"/>
        <v>2994.580523</v>
      </c>
      <c r="K287" s="97">
        <f t="shared" si="4"/>
        <v>1294.558749</v>
      </c>
      <c r="L287" s="97">
        <f t="shared" si="16"/>
        <v>320653.3088</v>
      </c>
      <c r="M287" s="97">
        <f t="shared" si="17"/>
        <v>496846.6912</v>
      </c>
      <c r="N287" s="235">
        <f t="shared" si="5"/>
        <v>665501.8494</v>
      </c>
      <c r="O287" s="241" t="str">
        <f t="shared" si="14"/>
        <v/>
      </c>
      <c r="P287" s="242" t="str">
        <f t="shared" si="6"/>
        <v/>
      </c>
      <c r="Q287" s="242" t="str">
        <f t="shared" si="7"/>
        <v/>
      </c>
      <c r="R287" s="242" t="str">
        <f t="shared" si="8"/>
        <v/>
      </c>
      <c r="S287" s="242" t="str">
        <f t="shared" si="9"/>
        <v/>
      </c>
      <c r="T287" s="242" t="str">
        <f t="shared" si="10"/>
        <v/>
      </c>
      <c r="U287" s="242" t="str">
        <f t="shared" si="11"/>
        <v/>
      </c>
      <c r="V287" s="7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</row>
    <row r="288" ht="14.25" customHeight="1">
      <c r="A288" s="2"/>
      <c r="B288" s="2"/>
      <c r="C288" s="2"/>
      <c r="D288" s="2"/>
      <c r="E288" s="2"/>
      <c r="F288" s="2"/>
      <c r="G288" s="2"/>
      <c r="H288" s="125">
        <f t="shared" si="20"/>
        <v>272</v>
      </c>
      <c r="I288" s="97">
        <f t="shared" si="18"/>
        <v>4289.139272</v>
      </c>
      <c r="J288" s="97">
        <f t="shared" si="19"/>
        <v>3006.558845</v>
      </c>
      <c r="K288" s="97">
        <f t="shared" si="4"/>
        <v>1282.580427</v>
      </c>
      <c r="L288" s="97">
        <f t="shared" si="16"/>
        <v>317646.75</v>
      </c>
      <c r="M288" s="97">
        <f t="shared" si="17"/>
        <v>499853.25</v>
      </c>
      <c r="N288" s="235">
        <f t="shared" si="5"/>
        <v>666784.4298</v>
      </c>
      <c r="O288" s="241" t="str">
        <f t="shared" si="14"/>
        <v/>
      </c>
      <c r="P288" s="242" t="str">
        <f t="shared" si="6"/>
        <v/>
      </c>
      <c r="Q288" s="242" t="str">
        <f t="shared" si="7"/>
        <v/>
      </c>
      <c r="R288" s="242" t="str">
        <f t="shared" si="8"/>
        <v/>
      </c>
      <c r="S288" s="242" t="str">
        <f t="shared" si="9"/>
        <v/>
      </c>
      <c r="T288" s="242" t="str">
        <f t="shared" si="10"/>
        <v/>
      </c>
      <c r="U288" s="242" t="str">
        <f t="shared" si="11"/>
        <v/>
      </c>
      <c r="V288" s="7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</row>
    <row r="289" ht="14.25" customHeight="1">
      <c r="A289" s="2"/>
      <c r="B289" s="2"/>
      <c r="C289" s="2"/>
      <c r="D289" s="2"/>
      <c r="E289" s="2"/>
      <c r="F289" s="2"/>
      <c r="G289" s="2"/>
      <c r="H289" s="125">
        <f t="shared" si="20"/>
        <v>273</v>
      </c>
      <c r="I289" s="97">
        <f t="shared" si="18"/>
        <v>4289.139272</v>
      </c>
      <c r="J289" s="97">
        <f t="shared" si="19"/>
        <v>3018.58508</v>
      </c>
      <c r="K289" s="97">
        <f t="shared" si="4"/>
        <v>1270.554191</v>
      </c>
      <c r="L289" s="97">
        <f t="shared" si="16"/>
        <v>314628.1649</v>
      </c>
      <c r="M289" s="97">
        <f t="shared" si="17"/>
        <v>502871.8351</v>
      </c>
      <c r="N289" s="235">
        <f t="shared" si="5"/>
        <v>668054.984</v>
      </c>
      <c r="O289" s="241" t="str">
        <f t="shared" si="14"/>
        <v/>
      </c>
      <c r="P289" s="242" t="str">
        <f t="shared" si="6"/>
        <v/>
      </c>
      <c r="Q289" s="242" t="str">
        <f t="shared" si="7"/>
        <v/>
      </c>
      <c r="R289" s="242" t="str">
        <f t="shared" si="8"/>
        <v/>
      </c>
      <c r="S289" s="242" t="str">
        <f t="shared" si="9"/>
        <v/>
      </c>
      <c r="T289" s="242" t="str">
        <f t="shared" si="10"/>
        <v/>
      </c>
      <c r="U289" s="242" t="str">
        <f t="shared" si="11"/>
        <v/>
      </c>
      <c r="V289" s="7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</row>
    <row r="290" ht="14.25" customHeight="1">
      <c r="A290" s="2"/>
      <c r="B290" s="2"/>
      <c r="C290" s="2"/>
      <c r="D290" s="2"/>
      <c r="E290" s="2"/>
      <c r="F290" s="2"/>
      <c r="G290" s="2"/>
      <c r="H290" s="125">
        <f t="shared" si="20"/>
        <v>274</v>
      </c>
      <c r="I290" s="97">
        <f t="shared" si="18"/>
        <v>4289.139272</v>
      </c>
      <c r="J290" s="97">
        <f t="shared" si="19"/>
        <v>3030.659421</v>
      </c>
      <c r="K290" s="97">
        <f t="shared" si="4"/>
        <v>1258.479851</v>
      </c>
      <c r="L290" s="97">
        <f t="shared" si="16"/>
        <v>311597.5055</v>
      </c>
      <c r="M290" s="97">
        <f t="shared" si="17"/>
        <v>505902.4945</v>
      </c>
      <c r="N290" s="235">
        <f t="shared" si="5"/>
        <v>669313.4638</v>
      </c>
      <c r="O290" s="241" t="str">
        <f t="shared" si="14"/>
        <v/>
      </c>
      <c r="P290" s="242" t="str">
        <f t="shared" si="6"/>
        <v/>
      </c>
      <c r="Q290" s="242" t="str">
        <f t="shared" si="7"/>
        <v/>
      </c>
      <c r="R290" s="242" t="str">
        <f t="shared" si="8"/>
        <v/>
      </c>
      <c r="S290" s="242" t="str">
        <f t="shared" si="9"/>
        <v/>
      </c>
      <c r="T290" s="242" t="str">
        <f t="shared" si="10"/>
        <v/>
      </c>
      <c r="U290" s="242" t="str">
        <f t="shared" si="11"/>
        <v/>
      </c>
      <c r="V290" s="7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</row>
    <row r="291" ht="14.25" customHeight="1">
      <c r="A291" s="2"/>
      <c r="B291" s="2"/>
      <c r="C291" s="2"/>
      <c r="D291" s="2"/>
      <c r="E291" s="2"/>
      <c r="F291" s="2"/>
      <c r="G291" s="2"/>
      <c r="H291" s="125">
        <f t="shared" si="20"/>
        <v>275</v>
      </c>
      <c r="I291" s="97">
        <f t="shared" si="18"/>
        <v>4289.139272</v>
      </c>
      <c r="J291" s="97">
        <f t="shared" si="19"/>
        <v>3042.782058</v>
      </c>
      <c r="K291" s="97">
        <f t="shared" si="4"/>
        <v>1246.357213</v>
      </c>
      <c r="L291" s="97">
        <f t="shared" si="16"/>
        <v>308554.7234</v>
      </c>
      <c r="M291" s="97">
        <f t="shared" si="17"/>
        <v>508945.2766</v>
      </c>
      <c r="N291" s="235">
        <f t="shared" si="5"/>
        <v>670559.821</v>
      </c>
      <c r="O291" s="241" t="str">
        <f t="shared" si="14"/>
        <v/>
      </c>
      <c r="P291" s="242" t="str">
        <f t="shared" si="6"/>
        <v/>
      </c>
      <c r="Q291" s="242" t="str">
        <f t="shared" si="7"/>
        <v/>
      </c>
      <c r="R291" s="242" t="str">
        <f t="shared" si="8"/>
        <v/>
      </c>
      <c r="S291" s="242" t="str">
        <f t="shared" si="9"/>
        <v/>
      </c>
      <c r="T291" s="242" t="str">
        <f t="shared" si="10"/>
        <v/>
      </c>
      <c r="U291" s="242" t="str">
        <f t="shared" si="11"/>
        <v/>
      </c>
      <c r="V291" s="7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</row>
    <row r="292" ht="14.25" customHeight="1">
      <c r="A292" s="2"/>
      <c r="B292" s="2"/>
      <c r="C292" s="2"/>
      <c r="D292" s="2"/>
      <c r="E292" s="2"/>
      <c r="F292" s="2"/>
      <c r="G292" s="2"/>
      <c r="H292" s="125">
        <f t="shared" si="20"/>
        <v>276</v>
      </c>
      <c r="I292" s="97">
        <f t="shared" si="18"/>
        <v>4289.139272</v>
      </c>
      <c r="J292" s="97">
        <f t="shared" si="19"/>
        <v>3054.953187</v>
      </c>
      <c r="K292" s="97">
        <f t="shared" si="4"/>
        <v>1234.186085</v>
      </c>
      <c r="L292" s="97">
        <f t="shared" si="16"/>
        <v>305499.7702</v>
      </c>
      <c r="M292" s="97">
        <f t="shared" si="17"/>
        <v>512000.2298</v>
      </c>
      <c r="N292" s="235">
        <f t="shared" si="5"/>
        <v>671794.0071</v>
      </c>
      <c r="O292" s="241" t="str">
        <f t="shared" si="14"/>
        <v/>
      </c>
      <c r="P292" s="242" t="str">
        <f t="shared" si="6"/>
        <v/>
      </c>
      <c r="Q292" s="242" t="str">
        <f t="shared" si="7"/>
        <v/>
      </c>
      <c r="R292" s="242" t="str">
        <f t="shared" si="8"/>
        <v/>
      </c>
      <c r="S292" s="242" t="str">
        <f t="shared" si="9"/>
        <v/>
      </c>
      <c r="T292" s="242" t="str">
        <f t="shared" si="10"/>
        <v/>
      </c>
      <c r="U292" s="242" t="str">
        <f t="shared" si="11"/>
        <v/>
      </c>
      <c r="V292" s="7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</row>
    <row r="293" ht="14.25" customHeight="1">
      <c r="A293" s="2"/>
      <c r="B293" s="2"/>
      <c r="C293" s="2"/>
      <c r="D293" s="2"/>
      <c r="E293" s="2"/>
      <c r="F293" s="2"/>
      <c r="G293" s="2"/>
      <c r="H293" s="125">
        <f t="shared" si="20"/>
        <v>277</v>
      </c>
      <c r="I293" s="97">
        <f t="shared" si="18"/>
        <v>4289.139272</v>
      </c>
      <c r="J293" s="97">
        <f t="shared" si="19"/>
        <v>3067.172999</v>
      </c>
      <c r="K293" s="97">
        <f t="shared" si="4"/>
        <v>1221.966272</v>
      </c>
      <c r="L293" s="97">
        <f t="shared" si="16"/>
        <v>302432.5972</v>
      </c>
      <c r="M293" s="97">
        <f t="shared" si="17"/>
        <v>515067.4028</v>
      </c>
      <c r="N293" s="235">
        <f t="shared" si="5"/>
        <v>673015.9734</v>
      </c>
      <c r="O293" s="241" t="str">
        <f t="shared" si="14"/>
        <v/>
      </c>
      <c r="P293" s="242" t="str">
        <f t="shared" si="6"/>
        <v/>
      </c>
      <c r="Q293" s="242" t="str">
        <f t="shared" si="7"/>
        <v/>
      </c>
      <c r="R293" s="242" t="str">
        <f t="shared" si="8"/>
        <v/>
      </c>
      <c r="S293" s="242" t="str">
        <f t="shared" si="9"/>
        <v/>
      </c>
      <c r="T293" s="242" t="str">
        <f t="shared" si="10"/>
        <v/>
      </c>
      <c r="U293" s="242" t="str">
        <f t="shared" si="11"/>
        <v/>
      </c>
      <c r="V293" s="7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</row>
    <row r="294" ht="14.25" customHeight="1">
      <c r="A294" s="2"/>
      <c r="B294" s="2"/>
      <c r="C294" s="2"/>
      <c r="D294" s="2"/>
      <c r="E294" s="2"/>
      <c r="F294" s="2"/>
      <c r="G294" s="2"/>
      <c r="H294" s="125">
        <f t="shared" si="20"/>
        <v>278</v>
      </c>
      <c r="I294" s="97">
        <f t="shared" si="18"/>
        <v>4289.139272</v>
      </c>
      <c r="J294" s="97">
        <f t="shared" si="19"/>
        <v>3079.441691</v>
      </c>
      <c r="K294" s="97">
        <f t="shared" si="4"/>
        <v>1209.69758</v>
      </c>
      <c r="L294" s="97">
        <f t="shared" si="16"/>
        <v>299353.1555</v>
      </c>
      <c r="M294" s="97">
        <f t="shared" si="17"/>
        <v>518146.8445</v>
      </c>
      <c r="N294" s="235">
        <f t="shared" si="5"/>
        <v>674225.671</v>
      </c>
      <c r="O294" s="241" t="str">
        <f t="shared" si="14"/>
        <v/>
      </c>
      <c r="P294" s="242" t="str">
        <f t="shared" si="6"/>
        <v/>
      </c>
      <c r="Q294" s="242" t="str">
        <f t="shared" si="7"/>
        <v/>
      </c>
      <c r="R294" s="242" t="str">
        <f t="shared" si="8"/>
        <v/>
      </c>
      <c r="S294" s="242" t="str">
        <f t="shared" si="9"/>
        <v/>
      </c>
      <c r="T294" s="242" t="str">
        <f t="shared" si="10"/>
        <v/>
      </c>
      <c r="U294" s="242" t="str">
        <f t="shared" si="11"/>
        <v/>
      </c>
      <c r="V294" s="7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</row>
    <row r="295" ht="14.25" customHeight="1">
      <c r="A295" s="2"/>
      <c r="B295" s="2"/>
      <c r="C295" s="2"/>
      <c r="D295" s="2"/>
      <c r="E295" s="2"/>
      <c r="F295" s="2"/>
      <c r="G295" s="2"/>
      <c r="H295" s="125">
        <f t="shared" si="20"/>
        <v>279</v>
      </c>
      <c r="I295" s="97">
        <f t="shared" si="18"/>
        <v>4289.139272</v>
      </c>
      <c r="J295" s="97">
        <f t="shared" si="19"/>
        <v>3091.759458</v>
      </c>
      <c r="K295" s="97">
        <f t="shared" si="4"/>
        <v>1197.379814</v>
      </c>
      <c r="L295" s="97">
        <f t="shared" si="16"/>
        <v>296261.3961</v>
      </c>
      <c r="M295" s="97">
        <f t="shared" si="17"/>
        <v>521238.6039</v>
      </c>
      <c r="N295" s="235">
        <f t="shared" si="5"/>
        <v>675423.0508</v>
      </c>
      <c r="O295" s="241" t="str">
        <f t="shared" si="14"/>
        <v/>
      </c>
      <c r="P295" s="242" t="str">
        <f t="shared" si="6"/>
        <v/>
      </c>
      <c r="Q295" s="242" t="str">
        <f t="shared" si="7"/>
        <v/>
      </c>
      <c r="R295" s="242" t="str">
        <f t="shared" si="8"/>
        <v/>
      </c>
      <c r="S295" s="242" t="str">
        <f t="shared" si="9"/>
        <v/>
      </c>
      <c r="T295" s="242" t="str">
        <f t="shared" si="10"/>
        <v/>
      </c>
      <c r="U295" s="242" t="str">
        <f t="shared" si="11"/>
        <v/>
      </c>
      <c r="V295" s="7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</row>
    <row r="296" ht="14.25" customHeight="1">
      <c r="A296" s="2"/>
      <c r="B296" s="2"/>
      <c r="C296" s="2"/>
      <c r="D296" s="2"/>
      <c r="E296" s="2"/>
      <c r="F296" s="2"/>
      <c r="G296" s="2"/>
      <c r="H296" s="125">
        <f t="shared" si="20"/>
        <v>280</v>
      </c>
      <c r="I296" s="97">
        <f t="shared" si="18"/>
        <v>4289.139272</v>
      </c>
      <c r="J296" s="97">
        <f t="shared" si="19"/>
        <v>3104.126496</v>
      </c>
      <c r="K296" s="97">
        <f t="shared" si="4"/>
        <v>1185.012776</v>
      </c>
      <c r="L296" s="97">
        <f t="shared" si="16"/>
        <v>293157.2696</v>
      </c>
      <c r="M296" s="97">
        <f t="shared" si="17"/>
        <v>524342.7304</v>
      </c>
      <c r="N296" s="235">
        <f t="shared" si="5"/>
        <v>676608.0636</v>
      </c>
      <c r="O296" s="241" t="str">
        <f t="shared" si="14"/>
        <v/>
      </c>
      <c r="P296" s="242" t="str">
        <f t="shared" si="6"/>
        <v/>
      </c>
      <c r="Q296" s="242" t="str">
        <f t="shared" si="7"/>
        <v/>
      </c>
      <c r="R296" s="242" t="str">
        <f t="shared" si="8"/>
        <v/>
      </c>
      <c r="S296" s="242" t="str">
        <f t="shared" si="9"/>
        <v/>
      </c>
      <c r="T296" s="242" t="str">
        <f t="shared" si="10"/>
        <v/>
      </c>
      <c r="U296" s="242" t="str">
        <f t="shared" si="11"/>
        <v/>
      </c>
      <c r="V296" s="7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</row>
    <row r="297" ht="14.25" customHeight="1">
      <c r="A297" s="2"/>
      <c r="B297" s="2"/>
      <c r="C297" s="2"/>
      <c r="D297" s="2"/>
      <c r="E297" s="2"/>
      <c r="F297" s="2"/>
      <c r="G297" s="2"/>
      <c r="H297" s="125">
        <f t="shared" si="20"/>
        <v>281</v>
      </c>
      <c r="I297" s="97">
        <f t="shared" si="18"/>
        <v>4289.139272</v>
      </c>
      <c r="J297" s="97">
        <f t="shared" si="19"/>
        <v>3116.543002</v>
      </c>
      <c r="K297" s="97">
        <f t="shared" si="4"/>
        <v>1172.59627</v>
      </c>
      <c r="L297" s="97">
        <f t="shared" si="16"/>
        <v>290040.7266</v>
      </c>
      <c r="M297" s="97">
        <f t="shared" si="17"/>
        <v>527459.2734</v>
      </c>
      <c r="N297" s="235">
        <f t="shared" si="5"/>
        <v>677780.6598</v>
      </c>
      <c r="O297" s="241" t="str">
        <f t="shared" si="14"/>
        <v/>
      </c>
      <c r="P297" s="242" t="str">
        <f t="shared" si="6"/>
        <v/>
      </c>
      <c r="Q297" s="242" t="str">
        <f t="shared" si="7"/>
        <v/>
      </c>
      <c r="R297" s="242" t="str">
        <f t="shared" si="8"/>
        <v/>
      </c>
      <c r="S297" s="242" t="str">
        <f t="shared" si="9"/>
        <v/>
      </c>
      <c r="T297" s="242" t="str">
        <f t="shared" si="10"/>
        <v/>
      </c>
      <c r="U297" s="242" t="str">
        <f t="shared" si="11"/>
        <v/>
      </c>
      <c r="V297" s="7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</row>
    <row r="298" ht="14.25" customHeight="1">
      <c r="A298" s="2"/>
      <c r="B298" s="2"/>
      <c r="C298" s="2"/>
      <c r="D298" s="2"/>
      <c r="E298" s="2"/>
      <c r="F298" s="2"/>
      <c r="G298" s="2"/>
      <c r="H298" s="125">
        <f t="shared" si="20"/>
        <v>282</v>
      </c>
      <c r="I298" s="97">
        <f t="shared" si="18"/>
        <v>4289.139272</v>
      </c>
      <c r="J298" s="97">
        <f t="shared" si="19"/>
        <v>3129.009174</v>
      </c>
      <c r="K298" s="97">
        <f t="shared" si="4"/>
        <v>1160.130098</v>
      </c>
      <c r="L298" s="97">
        <f t="shared" si="16"/>
        <v>286911.7174</v>
      </c>
      <c r="M298" s="97">
        <f t="shared" si="17"/>
        <v>530588.2826</v>
      </c>
      <c r="N298" s="235">
        <f t="shared" si="5"/>
        <v>678940.7899</v>
      </c>
      <c r="O298" s="241" t="str">
        <f t="shared" si="14"/>
        <v/>
      </c>
      <c r="P298" s="242" t="str">
        <f t="shared" si="6"/>
        <v/>
      </c>
      <c r="Q298" s="242" t="str">
        <f t="shared" si="7"/>
        <v/>
      </c>
      <c r="R298" s="242" t="str">
        <f t="shared" si="8"/>
        <v/>
      </c>
      <c r="S298" s="242" t="str">
        <f t="shared" si="9"/>
        <v/>
      </c>
      <c r="T298" s="242" t="str">
        <f t="shared" si="10"/>
        <v/>
      </c>
      <c r="U298" s="242" t="str">
        <f t="shared" si="11"/>
        <v/>
      </c>
      <c r="V298" s="7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</row>
    <row r="299" ht="14.25" customHeight="1">
      <c r="A299" s="2"/>
      <c r="B299" s="2"/>
      <c r="C299" s="2"/>
      <c r="D299" s="2"/>
      <c r="E299" s="2"/>
      <c r="F299" s="2"/>
      <c r="G299" s="2"/>
      <c r="H299" s="125">
        <f t="shared" si="20"/>
        <v>283</v>
      </c>
      <c r="I299" s="97">
        <f t="shared" si="18"/>
        <v>4289.139272</v>
      </c>
      <c r="J299" s="97">
        <f t="shared" si="19"/>
        <v>3141.525211</v>
      </c>
      <c r="K299" s="97">
        <f t="shared" si="4"/>
        <v>1147.614061</v>
      </c>
      <c r="L299" s="97">
        <f t="shared" si="16"/>
        <v>283770.1922</v>
      </c>
      <c r="M299" s="97">
        <f t="shared" si="17"/>
        <v>533729.8078</v>
      </c>
      <c r="N299" s="235">
        <f t="shared" si="5"/>
        <v>680088.404</v>
      </c>
      <c r="O299" s="241" t="str">
        <f t="shared" si="14"/>
        <v/>
      </c>
      <c r="P299" s="242" t="str">
        <f t="shared" si="6"/>
        <v/>
      </c>
      <c r="Q299" s="242" t="str">
        <f t="shared" si="7"/>
        <v/>
      </c>
      <c r="R299" s="242" t="str">
        <f t="shared" si="8"/>
        <v/>
      </c>
      <c r="S299" s="242" t="str">
        <f t="shared" si="9"/>
        <v/>
      </c>
      <c r="T299" s="242" t="str">
        <f t="shared" si="10"/>
        <v/>
      </c>
      <c r="U299" s="242" t="str">
        <f t="shared" si="11"/>
        <v/>
      </c>
      <c r="V299" s="7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</row>
    <row r="300" ht="14.25" customHeight="1">
      <c r="A300" s="2"/>
      <c r="B300" s="2"/>
      <c r="C300" s="2"/>
      <c r="D300" s="2"/>
      <c r="E300" s="2"/>
      <c r="F300" s="2"/>
      <c r="G300" s="2"/>
      <c r="H300" s="125">
        <f t="shared" si="20"/>
        <v>284</v>
      </c>
      <c r="I300" s="97">
        <f t="shared" si="18"/>
        <v>4289.139272</v>
      </c>
      <c r="J300" s="97">
        <f t="shared" si="19"/>
        <v>3154.091311</v>
      </c>
      <c r="K300" s="97">
        <f t="shared" si="4"/>
        <v>1135.04796</v>
      </c>
      <c r="L300" s="97">
        <f t="shared" si="16"/>
        <v>280616.1009</v>
      </c>
      <c r="M300" s="97">
        <f t="shared" si="17"/>
        <v>536883.8991</v>
      </c>
      <c r="N300" s="235">
        <f t="shared" si="5"/>
        <v>681223.452</v>
      </c>
      <c r="O300" s="241" t="str">
        <f t="shared" si="14"/>
        <v/>
      </c>
      <c r="P300" s="242" t="str">
        <f t="shared" si="6"/>
        <v/>
      </c>
      <c r="Q300" s="242" t="str">
        <f t="shared" si="7"/>
        <v/>
      </c>
      <c r="R300" s="242" t="str">
        <f t="shared" si="8"/>
        <v/>
      </c>
      <c r="S300" s="242" t="str">
        <f t="shared" si="9"/>
        <v/>
      </c>
      <c r="T300" s="242" t="str">
        <f t="shared" si="10"/>
        <v/>
      </c>
      <c r="U300" s="242" t="str">
        <f t="shared" si="11"/>
        <v/>
      </c>
      <c r="V300" s="7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</row>
    <row r="301" ht="14.25" customHeight="1">
      <c r="A301" s="2"/>
      <c r="B301" s="2"/>
      <c r="C301" s="2"/>
      <c r="D301" s="2"/>
      <c r="E301" s="2"/>
      <c r="F301" s="2"/>
      <c r="G301" s="2"/>
      <c r="H301" s="125">
        <f t="shared" si="20"/>
        <v>285</v>
      </c>
      <c r="I301" s="97">
        <f t="shared" si="18"/>
        <v>4289.139272</v>
      </c>
      <c r="J301" s="97">
        <f t="shared" si="19"/>
        <v>3166.707677</v>
      </c>
      <c r="K301" s="97">
        <f t="shared" si="4"/>
        <v>1122.431595</v>
      </c>
      <c r="L301" s="97">
        <f t="shared" si="16"/>
        <v>277449.3932</v>
      </c>
      <c r="M301" s="97">
        <f t="shared" si="17"/>
        <v>540050.6068</v>
      </c>
      <c r="N301" s="235">
        <f t="shared" si="5"/>
        <v>682345.8835</v>
      </c>
      <c r="O301" s="241" t="str">
        <f t="shared" si="14"/>
        <v/>
      </c>
      <c r="P301" s="242" t="str">
        <f t="shared" si="6"/>
        <v/>
      </c>
      <c r="Q301" s="242" t="str">
        <f t="shared" si="7"/>
        <v/>
      </c>
      <c r="R301" s="242" t="str">
        <f t="shared" si="8"/>
        <v/>
      </c>
      <c r="S301" s="242" t="str">
        <f t="shared" si="9"/>
        <v/>
      </c>
      <c r="T301" s="242" t="str">
        <f t="shared" si="10"/>
        <v/>
      </c>
      <c r="U301" s="242" t="str">
        <f t="shared" si="11"/>
        <v/>
      </c>
      <c r="V301" s="7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</row>
    <row r="302" ht="14.25" customHeight="1">
      <c r="A302" s="2"/>
      <c r="B302" s="2"/>
      <c r="C302" s="2"/>
      <c r="D302" s="2"/>
      <c r="E302" s="2"/>
      <c r="F302" s="2"/>
      <c r="G302" s="2"/>
      <c r="H302" s="125">
        <f t="shared" si="20"/>
        <v>286</v>
      </c>
      <c r="I302" s="97">
        <f t="shared" si="18"/>
        <v>4289.139272</v>
      </c>
      <c r="J302" s="97">
        <f t="shared" si="19"/>
        <v>3179.374507</v>
      </c>
      <c r="K302" s="97">
        <f t="shared" si="4"/>
        <v>1109.764764</v>
      </c>
      <c r="L302" s="97">
        <f t="shared" si="16"/>
        <v>274270.0187</v>
      </c>
      <c r="M302" s="97">
        <f t="shared" si="17"/>
        <v>543229.9813</v>
      </c>
      <c r="N302" s="235">
        <f t="shared" si="5"/>
        <v>683455.6483</v>
      </c>
      <c r="O302" s="241" t="str">
        <f t="shared" si="14"/>
        <v/>
      </c>
      <c r="P302" s="242" t="str">
        <f t="shared" si="6"/>
        <v/>
      </c>
      <c r="Q302" s="242" t="str">
        <f t="shared" si="7"/>
        <v/>
      </c>
      <c r="R302" s="242" t="str">
        <f t="shared" si="8"/>
        <v/>
      </c>
      <c r="S302" s="242" t="str">
        <f t="shared" si="9"/>
        <v/>
      </c>
      <c r="T302" s="242" t="str">
        <f t="shared" si="10"/>
        <v/>
      </c>
      <c r="U302" s="242" t="str">
        <f t="shared" si="11"/>
        <v/>
      </c>
      <c r="V302" s="7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</row>
    <row r="303" ht="14.25" customHeight="1">
      <c r="A303" s="2"/>
      <c r="B303" s="2"/>
      <c r="C303" s="2"/>
      <c r="D303" s="2"/>
      <c r="E303" s="2"/>
      <c r="F303" s="2"/>
      <c r="G303" s="2"/>
      <c r="H303" s="125">
        <f t="shared" si="20"/>
        <v>287</v>
      </c>
      <c r="I303" s="97">
        <f t="shared" si="18"/>
        <v>4289.139272</v>
      </c>
      <c r="J303" s="97">
        <f t="shared" si="19"/>
        <v>3192.092005</v>
      </c>
      <c r="K303" s="97">
        <f t="shared" si="4"/>
        <v>1097.047266</v>
      </c>
      <c r="L303" s="97">
        <f t="shared" si="16"/>
        <v>271077.9267</v>
      </c>
      <c r="M303" s="97">
        <f t="shared" si="17"/>
        <v>546422.0733</v>
      </c>
      <c r="N303" s="235">
        <f t="shared" si="5"/>
        <v>684552.6956</v>
      </c>
      <c r="O303" s="241" t="str">
        <f t="shared" si="14"/>
        <v/>
      </c>
      <c r="P303" s="242" t="str">
        <f t="shared" si="6"/>
        <v/>
      </c>
      <c r="Q303" s="242" t="str">
        <f t="shared" si="7"/>
        <v/>
      </c>
      <c r="R303" s="242" t="str">
        <f t="shared" si="8"/>
        <v/>
      </c>
      <c r="S303" s="242" t="str">
        <f t="shared" si="9"/>
        <v/>
      </c>
      <c r="T303" s="242" t="str">
        <f t="shared" si="10"/>
        <v/>
      </c>
      <c r="U303" s="242" t="str">
        <f t="shared" si="11"/>
        <v/>
      </c>
      <c r="V303" s="7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</row>
    <row r="304" ht="14.25" customHeight="1">
      <c r="A304" s="2"/>
      <c r="B304" s="2"/>
      <c r="C304" s="2"/>
      <c r="D304" s="2"/>
      <c r="E304" s="2"/>
      <c r="F304" s="2"/>
      <c r="G304" s="2"/>
      <c r="H304" s="125">
        <f t="shared" si="20"/>
        <v>288</v>
      </c>
      <c r="I304" s="97">
        <f t="shared" si="18"/>
        <v>4289.139272</v>
      </c>
      <c r="J304" s="97">
        <f t="shared" si="19"/>
        <v>3204.860373</v>
      </c>
      <c r="K304" s="97">
        <f t="shared" si="4"/>
        <v>1084.278898</v>
      </c>
      <c r="L304" s="97">
        <f t="shared" si="16"/>
        <v>267873.0663</v>
      </c>
      <c r="M304" s="97">
        <f t="shared" si="17"/>
        <v>549626.9337</v>
      </c>
      <c r="N304" s="235">
        <f t="shared" si="5"/>
        <v>685636.9745</v>
      </c>
      <c r="O304" s="241" t="str">
        <f t="shared" si="14"/>
        <v/>
      </c>
      <c r="P304" s="242" t="str">
        <f t="shared" si="6"/>
        <v/>
      </c>
      <c r="Q304" s="242" t="str">
        <f t="shared" si="7"/>
        <v/>
      </c>
      <c r="R304" s="242" t="str">
        <f t="shared" si="8"/>
        <v/>
      </c>
      <c r="S304" s="242" t="str">
        <f t="shared" si="9"/>
        <v/>
      </c>
      <c r="T304" s="242" t="str">
        <f t="shared" si="10"/>
        <v/>
      </c>
      <c r="U304" s="242" t="str">
        <f t="shared" si="11"/>
        <v/>
      </c>
      <c r="V304" s="7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</row>
    <row r="305" ht="14.25" customHeight="1">
      <c r="A305" s="2"/>
      <c r="B305" s="2"/>
      <c r="C305" s="2"/>
      <c r="D305" s="2"/>
      <c r="E305" s="2"/>
      <c r="F305" s="2"/>
      <c r="G305" s="2"/>
      <c r="H305" s="125">
        <f t="shared" si="20"/>
        <v>289</v>
      </c>
      <c r="I305" s="97">
        <f t="shared" si="18"/>
        <v>4289.139272</v>
      </c>
      <c r="J305" s="97">
        <f t="shared" si="19"/>
        <v>3217.679815</v>
      </c>
      <c r="K305" s="97">
        <f t="shared" si="4"/>
        <v>1071.459457</v>
      </c>
      <c r="L305" s="97">
        <f t="shared" si="16"/>
        <v>264655.3865</v>
      </c>
      <c r="M305" s="97">
        <f t="shared" si="17"/>
        <v>552844.6135</v>
      </c>
      <c r="N305" s="235">
        <f t="shared" si="5"/>
        <v>686708.4339</v>
      </c>
      <c r="O305" s="241" t="str">
        <f t="shared" si="14"/>
        <v/>
      </c>
      <c r="P305" s="242" t="str">
        <f t="shared" si="6"/>
        <v/>
      </c>
      <c r="Q305" s="242" t="str">
        <f t="shared" si="7"/>
        <v/>
      </c>
      <c r="R305" s="242" t="str">
        <f t="shared" si="8"/>
        <v/>
      </c>
      <c r="S305" s="242" t="str">
        <f t="shared" si="9"/>
        <v/>
      </c>
      <c r="T305" s="242" t="str">
        <f t="shared" si="10"/>
        <v/>
      </c>
      <c r="U305" s="242" t="str">
        <f t="shared" si="11"/>
        <v/>
      </c>
      <c r="V305" s="7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</row>
    <row r="306" ht="14.25" customHeight="1">
      <c r="A306" s="2"/>
      <c r="B306" s="2"/>
      <c r="C306" s="2"/>
      <c r="D306" s="2"/>
      <c r="E306" s="2"/>
      <c r="F306" s="2"/>
      <c r="G306" s="2"/>
      <c r="H306" s="125">
        <f t="shared" si="20"/>
        <v>290</v>
      </c>
      <c r="I306" s="97">
        <f t="shared" si="18"/>
        <v>4289.139272</v>
      </c>
      <c r="J306" s="97">
        <f t="shared" si="19"/>
        <v>3230.550534</v>
      </c>
      <c r="K306" s="97">
        <f t="shared" si="4"/>
        <v>1058.588738</v>
      </c>
      <c r="L306" s="97">
        <f t="shared" si="16"/>
        <v>261424.836</v>
      </c>
      <c r="M306" s="97">
        <f t="shared" si="17"/>
        <v>556075.164</v>
      </c>
      <c r="N306" s="235">
        <f t="shared" si="5"/>
        <v>687767.0227</v>
      </c>
      <c r="O306" s="241" t="str">
        <f t="shared" si="14"/>
        <v/>
      </c>
      <c r="P306" s="242" t="str">
        <f t="shared" si="6"/>
        <v/>
      </c>
      <c r="Q306" s="242" t="str">
        <f t="shared" si="7"/>
        <v/>
      </c>
      <c r="R306" s="242" t="str">
        <f t="shared" si="8"/>
        <v/>
      </c>
      <c r="S306" s="242" t="str">
        <f t="shared" si="9"/>
        <v/>
      </c>
      <c r="T306" s="242" t="str">
        <f t="shared" si="10"/>
        <v/>
      </c>
      <c r="U306" s="242" t="str">
        <f t="shared" si="11"/>
        <v/>
      </c>
      <c r="V306" s="7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</row>
    <row r="307" ht="14.25" customHeight="1">
      <c r="A307" s="2"/>
      <c r="B307" s="2"/>
      <c r="C307" s="2"/>
      <c r="D307" s="2"/>
      <c r="E307" s="2"/>
      <c r="F307" s="2"/>
      <c r="G307" s="2"/>
      <c r="H307" s="125">
        <f t="shared" si="20"/>
        <v>291</v>
      </c>
      <c r="I307" s="97">
        <f t="shared" si="18"/>
        <v>4289.139272</v>
      </c>
      <c r="J307" s="97">
        <f t="shared" si="19"/>
        <v>3243.472736</v>
      </c>
      <c r="K307" s="97">
        <f t="shared" si="4"/>
        <v>1045.666535</v>
      </c>
      <c r="L307" s="97">
        <f t="shared" si="16"/>
        <v>258181.3632</v>
      </c>
      <c r="M307" s="97">
        <f t="shared" si="17"/>
        <v>559318.6368</v>
      </c>
      <c r="N307" s="235">
        <f t="shared" si="5"/>
        <v>688812.6892</v>
      </c>
      <c r="O307" s="241" t="str">
        <f t="shared" si="14"/>
        <v/>
      </c>
      <c r="P307" s="242" t="str">
        <f t="shared" si="6"/>
        <v/>
      </c>
      <c r="Q307" s="242" t="str">
        <f t="shared" si="7"/>
        <v/>
      </c>
      <c r="R307" s="242" t="str">
        <f t="shared" si="8"/>
        <v/>
      </c>
      <c r="S307" s="242" t="str">
        <f t="shared" si="9"/>
        <v/>
      </c>
      <c r="T307" s="242" t="str">
        <f t="shared" si="10"/>
        <v/>
      </c>
      <c r="U307" s="242" t="str">
        <f t="shared" si="11"/>
        <v/>
      </c>
      <c r="V307" s="7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</row>
    <row r="308" ht="14.25" customHeight="1">
      <c r="A308" s="2"/>
      <c r="B308" s="2"/>
      <c r="C308" s="2"/>
      <c r="D308" s="2"/>
      <c r="E308" s="2"/>
      <c r="F308" s="2"/>
      <c r="G308" s="2"/>
      <c r="H308" s="125">
        <f t="shared" si="20"/>
        <v>292</v>
      </c>
      <c r="I308" s="97">
        <f t="shared" si="18"/>
        <v>4289.139272</v>
      </c>
      <c r="J308" s="97">
        <f t="shared" si="19"/>
        <v>3256.446627</v>
      </c>
      <c r="K308" s="97">
        <f t="shared" si="4"/>
        <v>1032.692645</v>
      </c>
      <c r="L308" s="97">
        <f t="shared" si="16"/>
        <v>254924.9166</v>
      </c>
      <c r="M308" s="97">
        <f t="shared" si="17"/>
        <v>562575.0834</v>
      </c>
      <c r="N308" s="235">
        <f t="shared" si="5"/>
        <v>689845.3819</v>
      </c>
      <c r="O308" s="241" t="str">
        <f t="shared" si="14"/>
        <v/>
      </c>
      <c r="P308" s="242" t="str">
        <f t="shared" si="6"/>
        <v/>
      </c>
      <c r="Q308" s="242" t="str">
        <f t="shared" si="7"/>
        <v/>
      </c>
      <c r="R308" s="242" t="str">
        <f t="shared" si="8"/>
        <v/>
      </c>
      <c r="S308" s="242" t="str">
        <f t="shared" si="9"/>
        <v/>
      </c>
      <c r="T308" s="242" t="str">
        <f t="shared" si="10"/>
        <v/>
      </c>
      <c r="U308" s="242" t="str">
        <f t="shared" si="11"/>
        <v/>
      </c>
      <c r="V308" s="7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</row>
    <row r="309" ht="14.25" customHeight="1">
      <c r="A309" s="2"/>
      <c r="B309" s="2"/>
      <c r="C309" s="2"/>
      <c r="D309" s="2"/>
      <c r="E309" s="2"/>
      <c r="F309" s="2"/>
      <c r="G309" s="2"/>
      <c r="H309" s="125">
        <f t="shared" si="20"/>
        <v>293</v>
      </c>
      <c r="I309" s="97">
        <f t="shared" si="18"/>
        <v>4289.139272</v>
      </c>
      <c r="J309" s="97">
        <f t="shared" si="19"/>
        <v>3269.472414</v>
      </c>
      <c r="K309" s="97">
        <f t="shared" si="4"/>
        <v>1019.666858</v>
      </c>
      <c r="L309" s="97">
        <f t="shared" si="16"/>
        <v>251655.4442</v>
      </c>
      <c r="M309" s="97">
        <f t="shared" si="17"/>
        <v>565844.5558</v>
      </c>
      <c r="N309" s="235">
        <f t="shared" si="5"/>
        <v>690865.0487</v>
      </c>
      <c r="O309" s="241" t="str">
        <f t="shared" si="14"/>
        <v/>
      </c>
      <c r="P309" s="242" t="str">
        <f t="shared" si="6"/>
        <v/>
      </c>
      <c r="Q309" s="242" t="str">
        <f t="shared" si="7"/>
        <v/>
      </c>
      <c r="R309" s="242" t="str">
        <f t="shared" si="8"/>
        <v/>
      </c>
      <c r="S309" s="242" t="str">
        <f t="shared" si="9"/>
        <v/>
      </c>
      <c r="T309" s="242" t="str">
        <f t="shared" si="10"/>
        <v/>
      </c>
      <c r="U309" s="242" t="str">
        <f t="shared" si="11"/>
        <v/>
      </c>
      <c r="V309" s="7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</row>
    <row r="310" ht="14.25" customHeight="1">
      <c r="A310" s="2"/>
      <c r="B310" s="2"/>
      <c r="C310" s="2"/>
      <c r="D310" s="2"/>
      <c r="E310" s="2"/>
      <c r="F310" s="2"/>
      <c r="G310" s="2"/>
      <c r="H310" s="125">
        <f t="shared" si="20"/>
        <v>294</v>
      </c>
      <c r="I310" s="97">
        <f t="shared" si="18"/>
        <v>4289.139272</v>
      </c>
      <c r="J310" s="97">
        <f t="shared" si="19"/>
        <v>3282.550303</v>
      </c>
      <c r="K310" s="97">
        <f t="shared" si="4"/>
        <v>1006.588968</v>
      </c>
      <c r="L310" s="97">
        <f t="shared" si="16"/>
        <v>248372.8939</v>
      </c>
      <c r="M310" s="97">
        <f t="shared" si="17"/>
        <v>569127.1061</v>
      </c>
      <c r="N310" s="235">
        <f t="shared" si="5"/>
        <v>691871.6377</v>
      </c>
      <c r="O310" s="241" t="str">
        <f t="shared" si="14"/>
        <v/>
      </c>
      <c r="P310" s="242" t="str">
        <f t="shared" si="6"/>
        <v/>
      </c>
      <c r="Q310" s="242" t="str">
        <f t="shared" si="7"/>
        <v/>
      </c>
      <c r="R310" s="242" t="str">
        <f t="shared" si="8"/>
        <v/>
      </c>
      <c r="S310" s="242" t="str">
        <f t="shared" si="9"/>
        <v/>
      </c>
      <c r="T310" s="242" t="str">
        <f t="shared" si="10"/>
        <v/>
      </c>
      <c r="U310" s="242" t="str">
        <f t="shared" si="11"/>
        <v/>
      </c>
      <c r="V310" s="7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</row>
    <row r="311" ht="14.25" customHeight="1">
      <c r="A311" s="2"/>
      <c r="B311" s="2"/>
      <c r="C311" s="2"/>
      <c r="D311" s="2"/>
      <c r="E311" s="2"/>
      <c r="F311" s="2"/>
      <c r="G311" s="2"/>
      <c r="H311" s="125">
        <f t="shared" si="20"/>
        <v>295</v>
      </c>
      <c r="I311" s="97">
        <f t="shared" si="18"/>
        <v>4289.139272</v>
      </c>
      <c r="J311" s="97">
        <f t="shared" si="19"/>
        <v>3295.680505</v>
      </c>
      <c r="K311" s="97">
        <f t="shared" si="4"/>
        <v>993.4587671</v>
      </c>
      <c r="L311" s="97">
        <f t="shared" si="16"/>
        <v>245077.2134</v>
      </c>
      <c r="M311" s="97">
        <f t="shared" si="17"/>
        <v>572422.7866</v>
      </c>
      <c r="N311" s="235">
        <f t="shared" si="5"/>
        <v>692865.0964</v>
      </c>
      <c r="O311" s="241" t="str">
        <f t="shared" si="14"/>
        <v/>
      </c>
      <c r="P311" s="242" t="str">
        <f t="shared" si="6"/>
        <v/>
      </c>
      <c r="Q311" s="242" t="str">
        <f t="shared" si="7"/>
        <v/>
      </c>
      <c r="R311" s="242" t="str">
        <f t="shared" si="8"/>
        <v/>
      </c>
      <c r="S311" s="242" t="str">
        <f t="shared" si="9"/>
        <v/>
      </c>
      <c r="T311" s="242" t="str">
        <f t="shared" si="10"/>
        <v/>
      </c>
      <c r="U311" s="242" t="str">
        <f t="shared" si="11"/>
        <v/>
      </c>
      <c r="V311" s="7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</row>
    <row r="312" ht="14.25" customHeight="1">
      <c r="A312" s="2"/>
      <c r="B312" s="2"/>
      <c r="C312" s="2"/>
      <c r="D312" s="2"/>
      <c r="E312" s="2"/>
      <c r="F312" s="2"/>
      <c r="G312" s="2"/>
      <c r="H312" s="125">
        <f t="shared" si="20"/>
        <v>296</v>
      </c>
      <c r="I312" s="97">
        <f t="shared" si="18"/>
        <v>4289.139272</v>
      </c>
      <c r="J312" s="97">
        <f t="shared" si="19"/>
        <v>3308.863227</v>
      </c>
      <c r="K312" s="97">
        <f t="shared" si="4"/>
        <v>980.2760451</v>
      </c>
      <c r="L312" s="97">
        <f t="shared" si="16"/>
        <v>241768.3502</v>
      </c>
      <c r="M312" s="97">
        <f t="shared" si="17"/>
        <v>575731.6498</v>
      </c>
      <c r="N312" s="235">
        <f t="shared" si="5"/>
        <v>693845.3725</v>
      </c>
      <c r="O312" s="241" t="str">
        <f t="shared" si="14"/>
        <v/>
      </c>
      <c r="P312" s="242" t="str">
        <f t="shared" si="6"/>
        <v/>
      </c>
      <c r="Q312" s="242" t="str">
        <f t="shared" si="7"/>
        <v/>
      </c>
      <c r="R312" s="242" t="str">
        <f t="shared" si="8"/>
        <v/>
      </c>
      <c r="S312" s="242" t="str">
        <f t="shared" si="9"/>
        <v/>
      </c>
      <c r="T312" s="242" t="str">
        <f t="shared" si="10"/>
        <v/>
      </c>
      <c r="U312" s="242" t="str">
        <f t="shared" si="11"/>
        <v/>
      </c>
      <c r="V312" s="7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</row>
    <row r="313" ht="14.25" customHeight="1">
      <c r="A313" s="2"/>
      <c r="B313" s="2"/>
      <c r="C313" s="2"/>
      <c r="D313" s="2"/>
      <c r="E313" s="2"/>
      <c r="F313" s="2"/>
      <c r="G313" s="2"/>
      <c r="H313" s="125">
        <f t="shared" si="20"/>
        <v>297</v>
      </c>
      <c r="I313" s="97">
        <f t="shared" si="18"/>
        <v>4289.139272</v>
      </c>
      <c r="J313" s="97">
        <f t="shared" si="19"/>
        <v>3322.09868</v>
      </c>
      <c r="K313" s="97">
        <f t="shared" si="4"/>
        <v>967.0405922</v>
      </c>
      <c r="L313" s="97">
        <f t="shared" si="16"/>
        <v>238446.2515</v>
      </c>
      <c r="M313" s="97">
        <f t="shared" si="17"/>
        <v>579053.7485</v>
      </c>
      <c r="N313" s="235">
        <f t="shared" si="5"/>
        <v>694812.4131</v>
      </c>
      <c r="O313" s="241" t="str">
        <f t="shared" si="14"/>
        <v/>
      </c>
      <c r="P313" s="242" t="str">
        <f t="shared" si="6"/>
        <v/>
      </c>
      <c r="Q313" s="242" t="str">
        <f t="shared" si="7"/>
        <v/>
      </c>
      <c r="R313" s="242" t="str">
        <f t="shared" si="8"/>
        <v/>
      </c>
      <c r="S313" s="242" t="str">
        <f t="shared" si="9"/>
        <v/>
      </c>
      <c r="T313" s="242" t="str">
        <f t="shared" si="10"/>
        <v/>
      </c>
      <c r="U313" s="242" t="str">
        <f t="shared" si="11"/>
        <v/>
      </c>
      <c r="V313" s="7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</row>
    <row r="314" ht="14.25" customHeight="1">
      <c r="A314" s="2"/>
      <c r="B314" s="2"/>
      <c r="C314" s="2"/>
      <c r="D314" s="2"/>
      <c r="E314" s="2"/>
      <c r="F314" s="2"/>
      <c r="G314" s="2"/>
      <c r="H314" s="125">
        <f t="shared" si="20"/>
        <v>298</v>
      </c>
      <c r="I314" s="97">
        <f t="shared" si="18"/>
        <v>4289.139272</v>
      </c>
      <c r="J314" s="97">
        <f t="shared" si="19"/>
        <v>3335.387074</v>
      </c>
      <c r="K314" s="97">
        <f t="shared" si="4"/>
        <v>953.7521975</v>
      </c>
      <c r="L314" s="97">
        <f t="shared" si="16"/>
        <v>235110.8644</v>
      </c>
      <c r="M314" s="97">
        <f t="shared" si="17"/>
        <v>582389.1356</v>
      </c>
      <c r="N314" s="235">
        <f t="shared" si="5"/>
        <v>695766.1653</v>
      </c>
      <c r="O314" s="241" t="str">
        <f t="shared" si="14"/>
        <v/>
      </c>
      <c r="P314" s="242" t="str">
        <f t="shared" si="6"/>
        <v/>
      </c>
      <c r="Q314" s="242" t="str">
        <f t="shared" si="7"/>
        <v/>
      </c>
      <c r="R314" s="242" t="str">
        <f t="shared" si="8"/>
        <v/>
      </c>
      <c r="S314" s="242" t="str">
        <f t="shared" si="9"/>
        <v/>
      </c>
      <c r="T314" s="242" t="str">
        <f t="shared" si="10"/>
        <v/>
      </c>
      <c r="U314" s="242" t="str">
        <f t="shared" si="11"/>
        <v/>
      </c>
      <c r="V314" s="7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</row>
    <row r="315" ht="14.25" customHeight="1">
      <c r="A315" s="2"/>
      <c r="B315" s="2"/>
      <c r="C315" s="2"/>
      <c r="D315" s="2"/>
      <c r="E315" s="2"/>
      <c r="F315" s="2"/>
      <c r="G315" s="2"/>
      <c r="H315" s="125">
        <f t="shared" si="20"/>
        <v>299</v>
      </c>
      <c r="I315" s="97">
        <f t="shared" si="18"/>
        <v>4289.139272</v>
      </c>
      <c r="J315" s="97">
        <f t="shared" si="19"/>
        <v>3348.728623</v>
      </c>
      <c r="K315" s="97">
        <f t="shared" si="4"/>
        <v>940.4106492</v>
      </c>
      <c r="L315" s="97">
        <f t="shared" si="16"/>
        <v>231762.1358</v>
      </c>
      <c r="M315" s="97">
        <f t="shared" si="17"/>
        <v>585737.8642</v>
      </c>
      <c r="N315" s="235">
        <f t="shared" si="5"/>
        <v>696706.5759</v>
      </c>
      <c r="O315" s="241" t="str">
        <f t="shared" si="14"/>
        <v/>
      </c>
      <c r="P315" s="242" t="str">
        <f t="shared" si="6"/>
        <v/>
      </c>
      <c r="Q315" s="242" t="str">
        <f t="shared" si="7"/>
        <v/>
      </c>
      <c r="R315" s="242" t="str">
        <f t="shared" si="8"/>
        <v/>
      </c>
      <c r="S315" s="242" t="str">
        <f t="shared" si="9"/>
        <v/>
      </c>
      <c r="T315" s="242" t="str">
        <f t="shared" si="10"/>
        <v/>
      </c>
      <c r="U315" s="242" t="str">
        <f t="shared" si="11"/>
        <v/>
      </c>
      <c r="V315" s="7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</row>
    <row r="316" ht="14.25" customHeight="1">
      <c r="A316" s="2"/>
      <c r="B316" s="2"/>
      <c r="C316" s="2"/>
      <c r="D316" s="2"/>
      <c r="E316" s="2"/>
      <c r="F316" s="2"/>
      <c r="G316" s="2"/>
      <c r="H316" s="125">
        <f t="shared" si="20"/>
        <v>300</v>
      </c>
      <c r="I316" s="97">
        <f t="shared" si="18"/>
        <v>4289.139272</v>
      </c>
      <c r="J316" s="97">
        <f t="shared" si="19"/>
        <v>3362.123537</v>
      </c>
      <c r="K316" s="97">
        <f t="shared" si="4"/>
        <v>927.0157347</v>
      </c>
      <c r="L316" s="97">
        <f t="shared" si="16"/>
        <v>228400.0122</v>
      </c>
      <c r="M316" s="97">
        <f t="shared" si="17"/>
        <v>589099.9878</v>
      </c>
      <c r="N316" s="235">
        <f t="shared" si="5"/>
        <v>697633.5917</v>
      </c>
      <c r="O316" s="241" t="str">
        <f t="shared" si="14"/>
        <v/>
      </c>
      <c r="P316" s="242" t="str">
        <f t="shared" si="6"/>
        <v/>
      </c>
      <c r="Q316" s="242" t="str">
        <f t="shared" si="7"/>
        <v/>
      </c>
      <c r="R316" s="242" t="str">
        <f t="shared" si="8"/>
        <v/>
      </c>
      <c r="S316" s="242" t="str">
        <f t="shared" si="9"/>
        <v/>
      </c>
      <c r="T316" s="242" t="str">
        <f t="shared" si="10"/>
        <v/>
      </c>
      <c r="U316" s="242" t="str">
        <f t="shared" si="11"/>
        <v/>
      </c>
      <c r="V316" s="7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</row>
    <row r="317" ht="14.25" customHeight="1">
      <c r="A317" s="2"/>
      <c r="B317" s="2"/>
      <c r="C317" s="2"/>
      <c r="D317" s="2"/>
      <c r="E317" s="2"/>
      <c r="F317" s="2"/>
      <c r="G317" s="2"/>
      <c r="H317" s="125">
        <f t="shared" si="20"/>
        <v>301</v>
      </c>
      <c r="I317" s="97">
        <f t="shared" si="18"/>
        <v>4289.139272</v>
      </c>
      <c r="J317" s="97">
        <f t="shared" si="19"/>
        <v>3375.572031</v>
      </c>
      <c r="K317" s="97">
        <f t="shared" si="4"/>
        <v>913.5672406</v>
      </c>
      <c r="L317" s="97">
        <f t="shared" si="16"/>
        <v>225024.4402</v>
      </c>
      <c r="M317" s="97">
        <f t="shared" si="17"/>
        <v>592475.5598</v>
      </c>
      <c r="N317" s="235">
        <f t="shared" si="5"/>
        <v>698547.1589</v>
      </c>
      <c r="O317" s="241" t="str">
        <f t="shared" si="14"/>
        <v/>
      </c>
      <c r="P317" s="242" t="str">
        <f t="shared" si="6"/>
        <v/>
      </c>
      <c r="Q317" s="242" t="str">
        <f t="shared" si="7"/>
        <v/>
      </c>
      <c r="R317" s="242" t="str">
        <f t="shared" si="8"/>
        <v/>
      </c>
      <c r="S317" s="242" t="str">
        <f t="shared" si="9"/>
        <v/>
      </c>
      <c r="T317" s="242" t="str">
        <f t="shared" si="10"/>
        <v/>
      </c>
      <c r="U317" s="242" t="str">
        <f t="shared" si="11"/>
        <v/>
      </c>
      <c r="V317" s="7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</row>
    <row r="318" ht="14.25" customHeight="1">
      <c r="A318" s="2"/>
      <c r="B318" s="2"/>
      <c r="C318" s="2"/>
      <c r="D318" s="2"/>
      <c r="E318" s="2"/>
      <c r="F318" s="2"/>
      <c r="G318" s="2"/>
      <c r="H318" s="125">
        <f t="shared" si="20"/>
        <v>302</v>
      </c>
      <c r="I318" s="97">
        <f t="shared" si="18"/>
        <v>4289.139272</v>
      </c>
      <c r="J318" s="97">
        <f t="shared" si="19"/>
        <v>3389.074319</v>
      </c>
      <c r="K318" s="97">
        <f t="shared" si="4"/>
        <v>900.0649524</v>
      </c>
      <c r="L318" s="97">
        <f t="shared" si="16"/>
        <v>221635.3659</v>
      </c>
      <c r="M318" s="97">
        <f t="shared" si="17"/>
        <v>595864.6341</v>
      </c>
      <c r="N318" s="235">
        <f t="shared" si="5"/>
        <v>699447.2239</v>
      </c>
      <c r="O318" s="241" t="str">
        <f t="shared" si="14"/>
        <v/>
      </c>
      <c r="P318" s="242" t="str">
        <f t="shared" si="6"/>
        <v/>
      </c>
      <c r="Q318" s="242" t="str">
        <f t="shared" si="7"/>
        <v/>
      </c>
      <c r="R318" s="242" t="str">
        <f t="shared" si="8"/>
        <v/>
      </c>
      <c r="S318" s="242" t="str">
        <f t="shared" si="9"/>
        <v/>
      </c>
      <c r="T318" s="242" t="str">
        <f t="shared" si="10"/>
        <v/>
      </c>
      <c r="U318" s="242" t="str">
        <f t="shared" si="11"/>
        <v/>
      </c>
      <c r="V318" s="7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</row>
    <row r="319" ht="14.25" customHeight="1">
      <c r="A319" s="2"/>
      <c r="B319" s="2"/>
      <c r="C319" s="2"/>
      <c r="D319" s="2"/>
      <c r="E319" s="2"/>
      <c r="F319" s="2"/>
      <c r="G319" s="2"/>
      <c r="H319" s="125">
        <f t="shared" si="20"/>
        <v>303</v>
      </c>
      <c r="I319" s="97">
        <f t="shared" si="18"/>
        <v>4289.139272</v>
      </c>
      <c r="J319" s="97">
        <f t="shared" si="19"/>
        <v>3402.630617</v>
      </c>
      <c r="K319" s="97">
        <f t="shared" si="4"/>
        <v>886.5086552</v>
      </c>
      <c r="L319" s="97">
        <f t="shared" si="16"/>
        <v>218232.7353</v>
      </c>
      <c r="M319" s="97">
        <f t="shared" si="17"/>
        <v>599267.2647</v>
      </c>
      <c r="N319" s="235">
        <f t="shared" si="5"/>
        <v>700333.7325</v>
      </c>
      <c r="O319" s="241" t="str">
        <f t="shared" si="14"/>
        <v/>
      </c>
      <c r="P319" s="242" t="str">
        <f t="shared" si="6"/>
        <v/>
      </c>
      <c r="Q319" s="242" t="str">
        <f t="shared" si="7"/>
        <v/>
      </c>
      <c r="R319" s="242" t="str">
        <f t="shared" si="8"/>
        <v/>
      </c>
      <c r="S319" s="242" t="str">
        <f t="shared" si="9"/>
        <v/>
      </c>
      <c r="T319" s="242" t="str">
        <f t="shared" si="10"/>
        <v/>
      </c>
      <c r="U319" s="242" t="str">
        <f t="shared" si="11"/>
        <v/>
      </c>
      <c r="V319" s="7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</row>
    <row r="320" ht="14.25" customHeight="1">
      <c r="A320" s="2"/>
      <c r="B320" s="2"/>
      <c r="C320" s="2"/>
      <c r="D320" s="2"/>
      <c r="E320" s="2"/>
      <c r="F320" s="2"/>
      <c r="G320" s="2"/>
      <c r="H320" s="125">
        <f t="shared" si="20"/>
        <v>304</v>
      </c>
      <c r="I320" s="97">
        <f t="shared" si="18"/>
        <v>4289.139272</v>
      </c>
      <c r="J320" s="97">
        <f t="shared" si="19"/>
        <v>3416.241139</v>
      </c>
      <c r="K320" s="97">
        <f t="shared" si="4"/>
        <v>872.8981327</v>
      </c>
      <c r="L320" s="97">
        <f t="shared" si="16"/>
        <v>214816.4941</v>
      </c>
      <c r="M320" s="97">
        <f t="shared" si="17"/>
        <v>602683.5059</v>
      </c>
      <c r="N320" s="235">
        <f t="shared" si="5"/>
        <v>701206.6306</v>
      </c>
      <c r="O320" s="241" t="str">
        <f t="shared" si="14"/>
        <v/>
      </c>
      <c r="P320" s="242" t="str">
        <f t="shared" si="6"/>
        <v/>
      </c>
      <c r="Q320" s="242" t="str">
        <f t="shared" si="7"/>
        <v/>
      </c>
      <c r="R320" s="242" t="str">
        <f t="shared" si="8"/>
        <v/>
      </c>
      <c r="S320" s="242" t="str">
        <f t="shared" si="9"/>
        <v/>
      </c>
      <c r="T320" s="242" t="str">
        <f t="shared" si="10"/>
        <v/>
      </c>
      <c r="U320" s="242" t="str">
        <f t="shared" si="11"/>
        <v/>
      </c>
      <c r="V320" s="7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</row>
    <row r="321" ht="14.25" customHeight="1">
      <c r="A321" s="2"/>
      <c r="B321" s="2"/>
      <c r="C321" s="2"/>
      <c r="D321" s="2"/>
      <c r="E321" s="2"/>
      <c r="F321" s="2"/>
      <c r="G321" s="2"/>
      <c r="H321" s="125">
        <f t="shared" si="20"/>
        <v>305</v>
      </c>
      <c r="I321" s="97">
        <f t="shared" si="18"/>
        <v>4289.139272</v>
      </c>
      <c r="J321" s="97">
        <f t="shared" si="19"/>
        <v>3429.906104</v>
      </c>
      <c r="K321" s="97">
        <f t="shared" si="4"/>
        <v>859.2331681</v>
      </c>
      <c r="L321" s="97">
        <f t="shared" si="16"/>
        <v>211386.588</v>
      </c>
      <c r="M321" s="97">
        <f t="shared" si="17"/>
        <v>606113.412</v>
      </c>
      <c r="N321" s="235">
        <f t="shared" si="5"/>
        <v>702065.8638</v>
      </c>
      <c r="O321" s="241" t="str">
        <f t="shared" si="14"/>
        <v/>
      </c>
      <c r="P321" s="242" t="str">
        <f t="shared" si="6"/>
        <v/>
      </c>
      <c r="Q321" s="242" t="str">
        <f t="shared" si="7"/>
        <v/>
      </c>
      <c r="R321" s="242" t="str">
        <f t="shared" si="8"/>
        <v/>
      </c>
      <c r="S321" s="242" t="str">
        <f t="shared" si="9"/>
        <v/>
      </c>
      <c r="T321" s="242" t="str">
        <f t="shared" si="10"/>
        <v/>
      </c>
      <c r="U321" s="242" t="str">
        <f t="shared" si="11"/>
        <v/>
      </c>
      <c r="V321" s="7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</row>
    <row r="322" ht="14.25" customHeight="1">
      <c r="A322" s="2"/>
      <c r="B322" s="2"/>
      <c r="C322" s="2"/>
      <c r="D322" s="2"/>
      <c r="E322" s="2"/>
      <c r="F322" s="2"/>
      <c r="G322" s="2"/>
      <c r="H322" s="125">
        <f t="shared" si="20"/>
        <v>306</v>
      </c>
      <c r="I322" s="97">
        <f t="shared" si="18"/>
        <v>4289.139272</v>
      </c>
      <c r="J322" s="97">
        <f t="shared" si="19"/>
        <v>3443.625728</v>
      </c>
      <c r="K322" s="97">
        <f t="shared" si="4"/>
        <v>845.5135437</v>
      </c>
      <c r="L322" s="97">
        <f t="shared" si="16"/>
        <v>207942.9623</v>
      </c>
      <c r="M322" s="97">
        <f t="shared" si="17"/>
        <v>609557.0377</v>
      </c>
      <c r="N322" s="235">
        <f t="shared" si="5"/>
        <v>702911.3774</v>
      </c>
      <c r="O322" s="241" t="str">
        <f t="shared" si="14"/>
        <v/>
      </c>
      <c r="P322" s="242" t="str">
        <f t="shared" si="6"/>
        <v/>
      </c>
      <c r="Q322" s="242" t="str">
        <f t="shared" si="7"/>
        <v/>
      </c>
      <c r="R322" s="242" t="str">
        <f t="shared" si="8"/>
        <v/>
      </c>
      <c r="S322" s="242" t="str">
        <f t="shared" si="9"/>
        <v/>
      </c>
      <c r="T322" s="242" t="str">
        <f t="shared" si="10"/>
        <v/>
      </c>
      <c r="U322" s="242" t="str">
        <f t="shared" si="11"/>
        <v/>
      </c>
      <c r="V322" s="7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</row>
    <row r="323" ht="14.25" customHeight="1">
      <c r="A323" s="2"/>
      <c r="B323" s="2"/>
      <c r="C323" s="2"/>
      <c r="D323" s="2"/>
      <c r="E323" s="2"/>
      <c r="F323" s="2"/>
      <c r="G323" s="2"/>
      <c r="H323" s="125">
        <f t="shared" si="20"/>
        <v>307</v>
      </c>
      <c r="I323" s="97">
        <f t="shared" si="18"/>
        <v>4289.139272</v>
      </c>
      <c r="J323" s="97">
        <f t="shared" si="19"/>
        <v>3457.400231</v>
      </c>
      <c r="K323" s="97">
        <f t="shared" si="4"/>
        <v>831.7390408</v>
      </c>
      <c r="L323" s="97">
        <f t="shared" si="16"/>
        <v>204485.5621</v>
      </c>
      <c r="M323" s="97">
        <f t="shared" si="17"/>
        <v>613014.4379</v>
      </c>
      <c r="N323" s="235">
        <f t="shared" si="5"/>
        <v>703743.1164</v>
      </c>
      <c r="O323" s="241" t="str">
        <f t="shared" si="14"/>
        <v/>
      </c>
      <c r="P323" s="242" t="str">
        <f t="shared" si="6"/>
        <v/>
      </c>
      <c r="Q323" s="242" t="str">
        <f t="shared" si="7"/>
        <v/>
      </c>
      <c r="R323" s="242" t="str">
        <f t="shared" si="8"/>
        <v/>
      </c>
      <c r="S323" s="242" t="str">
        <f t="shared" si="9"/>
        <v/>
      </c>
      <c r="T323" s="242" t="str">
        <f t="shared" si="10"/>
        <v/>
      </c>
      <c r="U323" s="242" t="str">
        <f t="shared" si="11"/>
        <v/>
      </c>
      <c r="V323" s="7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</row>
    <row r="324" ht="14.25" customHeight="1">
      <c r="A324" s="2"/>
      <c r="B324" s="2"/>
      <c r="C324" s="2"/>
      <c r="D324" s="2"/>
      <c r="E324" s="2"/>
      <c r="F324" s="2"/>
      <c r="G324" s="2"/>
      <c r="H324" s="125">
        <f t="shared" si="20"/>
        <v>308</v>
      </c>
      <c r="I324" s="97">
        <f t="shared" si="18"/>
        <v>4289.139272</v>
      </c>
      <c r="J324" s="97">
        <f t="shared" si="19"/>
        <v>3471.229832</v>
      </c>
      <c r="K324" s="97">
        <f t="shared" si="4"/>
        <v>817.9094399</v>
      </c>
      <c r="L324" s="97">
        <f t="shared" si="16"/>
        <v>201014.3322</v>
      </c>
      <c r="M324" s="97">
        <f t="shared" si="17"/>
        <v>616485.6678</v>
      </c>
      <c r="N324" s="235">
        <f t="shared" si="5"/>
        <v>704561.0258</v>
      </c>
      <c r="O324" s="241" t="str">
        <f t="shared" si="14"/>
        <v/>
      </c>
      <c r="P324" s="242" t="str">
        <f t="shared" si="6"/>
        <v/>
      </c>
      <c r="Q324" s="242" t="str">
        <f t="shared" si="7"/>
        <v/>
      </c>
      <c r="R324" s="242" t="str">
        <f t="shared" si="8"/>
        <v/>
      </c>
      <c r="S324" s="242" t="str">
        <f t="shared" si="9"/>
        <v/>
      </c>
      <c r="T324" s="242" t="str">
        <f t="shared" si="10"/>
        <v/>
      </c>
      <c r="U324" s="242" t="str">
        <f t="shared" si="11"/>
        <v/>
      </c>
      <c r="V324" s="7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</row>
    <row r="325" ht="14.25" customHeight="1">
      <c r="A325" s="2"/>
      <c r="B325" s="2"/>
      <c r="C325" s="2"/>
      <c r="D325" s="2"/>
      <c r="E325" s="2"/>
      <c r="F325" s="2"/>
      <c r="G325" s="2"/>
      <c r="H325" s="125">
        <f t="shared" si="20"/>
        <v>309</v>
      </c>
      <c r="I325" s="97">
        <f t="shared" si="18"/>
        <v>4289.139272</v>
      </c>
      <c r="J325" s="97">
        <f t="shared" si="19"/>
        <v>3485.114751</v>
      </c>
      <c r="K325" s="97">
        <f t="shared" si="4"/>
        <v>804.0245206</v>
      </c>
      <c r="L325" s="97">
        <f t="shared" si="16"/>
        <v>197529.2175</v>
      </c>
      <c r="M325" s="97">
        <f t="shared" si="17"/>
        <v>619970.7825</v>
      </c>
      <c r="N325" s="235">
        <f t="shared" si="5"/>
        <v>705365.0504</v>
      </c>
      <c r="O325" s="241" t="str">
        <f t="shared" si="14"/>
        <v/>
      </c>
      <c r="P325" s="242" t="str">
        <f t="shared" si="6"/>
        <v/>
      </c>
      <c r="Q325" s="242" t="str">
        <f t="shared" si="7"/>
        <v/>
      </c>
      <c r="R325" s="242" t="str">
        <f t="shared" si="8"/>
        <v/>
      </c>
      <c r="S325" s="242" t="str">
        <f t="shared" si="9"/>
        <v/>
      </c>
      <c r="T325" s="242" t="str">
        <f t="shared" si="10"/>
        <v/>
      </c>
      <c r="U325" s="242" t="str">
        <f t="shared" si="11"/>
        <v/>
      </c>
      <c r="V325" s="7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</row>
    <row r="326" ht="14.25" customHeight="1">
      <c r="A326" s="2"/>
      <c r="B326" s="2"/>
      <c r="C326" s="2"/>
      <c r="D326" s="2"/>
      <c r="E326" s="2"/>
      <c r="F326" s="2"/>
      <c r="G326" s="2"/>
      <c r="H326" s="125">
        <f t="shared" si="20"/>
        <v>310</v>
      </c>
      <c r="I326" s="97">
        <f t="shared" si="18"/>
        <v>4289.139272</v>
      </c>
      <c r="J326" s="97">
        <f t="shared" si="19"/>
        <v>3499.05521</v>
      </c>
      <c r="K326" s="97">
        <f t="shared" si="4"/>
        <v>790.0840616</v>
      </c>
      <c r="L326" s="97">
        <f t="shared" si="16"/>
        <v>194030.1623</v>
      </c>
      <c r="M326" s="97">
        <f t="shared" si="17"/>
        <v>623469.8377</v>
      </c>
      <c r="N326" s="235">
        <f t="shared" si="5"/>
        <v>706155.1344</v>
      </c>
      <c r="O326" s="241" t="str">
        <f t="shared" si="14"/>
        <v/>
      </c>
      <c r="P326" s="242" t="str">
        <f t="shared" si="6"/>
        <v/>
      </c>
      <c r="Q326" s="242" t="str">
        <f t="shared" si="7"/>
        <v/>
      </c>
      <c r="R326" s="242" t="str">
        <f t="shared" si="8"/>
        <v/>
      </c>
      <c r="S326" s="242" t="str">
        <f t="shared" si="9"/>
        <v/>
      </c>
      <c r="T326" s="242" t="str">
        <f t="shared" si="10"/>
        <v/>
      </c>
      <c r="U326" s="242" t="str">
        <f t="shared" si="11"/>
        <v/>
      </c>
      <c r="V326" s="7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</row>
    <row r="327" ht="14.25" customHeight="1">
      <c r="A327" s="2"/>
      <c r="B327" s="2"/>
      <c r="C327" s="2"/>
      <c r="D327" s="2"/>
      <c r="E327" s="2"/>
      <c r="F327" s="2"/>
      <c r="G327" s="2"/>
      <c r="H327" s="125">
        <f t="shared" si="20"/>
        <v>311</v>
      </c>
      <c r="I327" s="97">
        <f t="shared" si="18"/>
        <v>4289.139272</v>
      </c>
      <c r="J327" s="97">
        <f t="shared" si="19"/>
        <v>3513.051431</v>
      </c>
      <c r="K327" s="97">
        <f t="shared" si="4"/>
        <v>776.0878407</v>
      </c>
      <c r="L327" s="97">
        <f t="shared" si="16"/>
        <v>190517.1108</v>
      </c>
      <c r="M327" s="97">
        <f t="shared" si="17"/>
        <v>626982.8892</v>
      </c>
      <c r="N327" s="235">
        <f t="shared" si="5"/>
        <v>706931.2223</v>
      </c>
      <c r="O327" s="241" t="str">
        <f t="shared" si="14"/>
        <v/>
      </c>
      <c r="P327" s="242" t="str">
        <f t="shared" si="6"/>
        <v/>
      </c>
      <c r="Q327" s="242" t="str">
        <f t="shared" si="7"/>
        <v/>
      </c>
      <c r="R327" s="242" t="str">
        <f t="shared" si="8"/>
        <v/>
      </c>
      <c r="S327" s="242" t="str">
        <f t="shared" si="9"/>
        <v/>
      </c>
      <c r="T327" s="242" t="str">
        <f t="shared" si="10"/>
        <v/>
      </c>
      <c r="U327" s="242" t="str">
        <f t="shared" si="11"/>
        <v/>
      </c>
      <c r="V327" s="7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</row>
    <row r="328" ht="14.25" customHeight="1">
      <c r="A328" s="2"/>
      <c r="B328" s="2"/>
      <c r="C328" s="2"/>
      <c r="D328" s="2"/>
      <c r="E328" s="2"/>
      <c r="F328" s="2"/>
      <c r="G328" s="2"/>
      <c r="H328" s="125">
        <f t="shared" si="20"/>
        <v>312</v>
      </c>
      <c r="I328" s="97">
        <f t="shared" si="18"/>
        <v>4289.139272</v>
      </c>
      <c r="J328" s="97">
        <f t="shared" si="19"/>
        <v>3527.103637</v>
      </c>
      <c r="K328" s="97">
        <f t="shared" si="4"/>
        <v>762.035635</v>
      </c>
      <c r="L328" s="97">
        <f t="shared" si="16"/>
        <v>186990.0072</v>
      </c>
      <c r="M328" s="97">
        <f t="shared" si="17"/>
        <v>630509.9928</v>
      </c>
      <c r="N328" s="235">
        <f t="shared" si="5"/>
        <v>707693.2579</v>
      </c>
      <c r="O328" s="241" t="str">
        <f t="shared" si="14"/>
        <v/>
      </c>
      <c r="P328" s="242" t="str">
        <f t="shared" si="6"/>
        <v/>
      </c>
      <c r="Q328" s="242" t="str">
        <f t="shared" si="7"/>
        <v/>
      </c>
      <c r="R328" s="242" t="str">
        <f t="shared" si="8"/>
        <v/>
      </c>
      <c r="S328" s="242" t="str">
        <f t="shared" si="9"/>
        <v/>
      </c>
      <c r="T328" s="242" t="str">
        <f t="shared" si="10"/>
        <v/>
      </c>
      <c r="U328" s="242" t="str">
        <f t="shared" si="11"/>
        <v/>
      </c>
      <c r="V328" s="7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</row>
    <row r="329" ht="14.25" customHeight="1">
      <c r="A329" s="2"/>
      <c r="B329" s="2"/>
      <c r="C329" s="2"/>
      <c r="D329" s="2"/>
      <c r="E329" s="2"/>
      <c r="F329" s="2"/>
      <c r="G329" s="2"/>
      <c r="H329" s="125">
        <f t="shared" si="20"/>
        <v>313</v>
      </c>
      <c r="I329" s="97">
        <f t="shared" si="18"/>
        <v>4289.139272</v>
      </c>
      <c r="J329" s="97">
        <f t="shared" si="19"/>
        <v>3541.212051</v>
      </c>
      <c r="K329" s="97">
        <f t="shared" si="4"/>
        <v>747.9272205</v>
      </c>
      <c r="L329" s="97">
        <f t="shared" si="16"/>
        <v>183448.7952</v>
      </c>
      <c r="M329" s="97">
        <f t="shared" si="17"/>
        <v>634051.2048</v>
      </c>
      <c r="N329" s="235">
        <f t="shared" si="5"/>
        <v>708441.1851</v>
      </c>
      <c r="O329" s="241" t="str">
        <f t="shared" si="14"/>
        <v/>
      </c>
      <c r="P329" s="242" t="str">
        <f t="shared" si="6"/>
        <v/>
      </c>
      <c r="Q329" s="242" t="str">
        <f t="shared" si="7"/>
        <v/>
      </c>
      <c r="R329" s="242" t="str">
        <f t="shared" si="8"/>
        <v/>
      </c>
      <c r="S329" s="242" t="str">
        <f t="shared" si="9"/>
        <v/>
      </c>
      <c r="T329" s="242" t="str">
        <f t="shared" si="10"/>
        <v/>
      </c>
      <c r="U329" s="242" t="str">
        <f t="shared" si="11"/>
        <v/>
      </c>
      <c r="V329" s="7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</row>
    <row r="330" ht="14.25" customHeight="1">
      <c r="A330" s="2"/>
      <c r="B330" s="2"/>
      <c r="C330" s="2"/>
      <c r="D330" s="2"/>
      <c r="E330" s="2"/>
      <c r="F330" s="2"/>
      <c r="G330" s="2"/>
      <c r="H330" s="125">
        <f t="shared" si="20"/>
        <v>314</v>
      </c>
      <c r="I330" s="97">
        <f t="shared" si="18"/>
        <v>4289.139272</v>
      </c>
      <c r="J330" s="97">
        <f t="shared" si="19"/>
        <v>3555.376899</v>
      </c>
      <c r="K330" s="97">
        <f t="shared" si="4"/>
        <v>733.7623722</v>
      </c>
      <c r="L330" s="97">
        <f t="shared" si="16"/>
        <v>179893.4183</v>
      </c>
      <c r="M330" s="97">
        <f t="shared" si="17"/>
        <v>637606.5817</v>
      </c>
      <c r="N330" s="235">
        <f t="shared" si="5"/>
        <v>709174.9475</v>
      </c>
      <c r="O330" s="241" t="str">
        <f t="shared" si="14"/>
        <v/>
      </c>
      <c r="P330" s="242" t="str">
        <f t="shared" si="6"/>
        <v/>
      </c>
      <c r="Q330" s="242" t="str">
        <f t="shared" si="7"/>
        <v/>
      </c>
      <c r="R330" s="242" t="str">
        <f t="shared" si="8"/>
        <v/>
      </c>
      <c r="S330" s="242" t="str">
        <f t="shared" si="9"/>
        <v/>
      </c>
      <c r="T330" s="242" t="str">
        <f t="shared" si="10"/>
        <v/>
      </c>
      <c r="U330" s="242" t="str">
        <f t="shared" si="11"/>
        <v/>
      </c>
      <c r="V330" s="7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</row>
    <row r="331" ht="14.25" customHeight="1">
      <c r="A331" s="2"/>
      <c r="B331" s="2"/>
      <c r="C331" s="2"/>
      <c r="D331" s="2"/>
      <c r="E331" s="2"/>
      <c r="F331" s="2"/>
      <c r="G331" s="2"/>
      <c r="H331" s="125">
        <f t="shared" si="20"/>
        <v>315</v>
      </c>
      <c r="I331" s="97">
        <f t="shared" si="18"/>
        <v>4289.139272</v>
      </c>
      <c r="J331" s="97">
        <f t="shared" si="19"/>
        <v>3569.598407</v>
      </c>
      <c r="K331" s="97">
        <f t="shared" si="4"/>
        <v>719.5408646</v>
      </c>
      <c r="L331" s="97">
        <f t="shared" si="16"/>
        <v>176323.8199</v>
      </c>
      <c r="M331" s="97">
        <f t="shared" si="17"/>
        <v>641176.1801</v>
      </c>
      <c r="N331" s="235">
        <f t="shared" si="5"/>
        <v>709894.4884</v>
      </c>
      <c r="O331" s="241" t="str">
        <f t="shared" si="14"/>
        <v/>
      </c>
      <c r="P331" s="242" t="str">
        <f t="shared" si="6"/>
        <v/>
      </c>
      <c r="Q331" s="242" t="str">
        <f t="shared" si="7"/>
        <v/>
      </c>
      <c r="R331" s="242" t="str">
        <f t="shared" si="8"/>
        <v/>
      </c>
      <c r="S331" s="242" t="str">
        <f t="shared" si="9"/>
        <v/>
      </c>
      <c r="T331" s="242" t="str">
        <f t="shared" si="10"/>
        <v/>
      </c>
      <c r="U331" s="242" t="str">
        <f t="shared" si="11"/>
        <v/>
      </c>
      <c r="V331" s="7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</row>
    <row r="332" ht="14.25" customHeight="1">
      <c r="A332" s="2"/>
      <c r="B332" s="2"/>
      <c r="C332" s="2"/>
      <c r="D332" s="2"/>
      <c r="E332" s="2"/>
      <c r="F332" s="2"/>
      <c r="G332" s="2"/>
      <c r="H332" s="125">
        <f t="shared" si="20"/>
        <v>316</v>
      </c>
      <c r="I332" s="97">
        <f t="shared" si="18"/>
        <v>4289.139272</v>
      </c>
      <c r="J332" s="97">
        <f t="shared" si="19"/>
        <v>3583.876801</v>
      </c>
      <c r="K332" s="97">
        <f t="shared" si="4"/>
        <v>705.262471</v>
      </c>
      <c r="L332" s="97">
        <f t="shared" si="16"/>
        <v>172739.9431</v>
      </c>
      <c r="M332" s="97">
        <f t="shared" si="17"/>
        <v>644760.0569</v>
      </c>
      <c r="N332" s="235">
        <f t="shared" si="5"/>
        <v>710599.7508</v>
      </c>
      <c r="O332" s="241" t="str">
        <f t="shared" si="14"/>
        <v/>
      </c>
      <c r="P332" s="242" t="str">
        <f t="shared" si="6"/>
        <v/>
      </c>
      <c r="Q332" s="242" t="str">
        <f t="shared" si="7"/>
        <v/>
      </c>
      <c r="R332" s="242" t="str">
        <f t="shared" si="8"/>
        <v/>
      </c>
      <c r="S332" s="242" t="str">
        <f t="shared" si="9"/>
        <v/>
      </c>
      <c r="T332" s="242" t="str">
        <f t="shared" si="10"/>
        <v/>
      </c>
      <c r="U332" s="242" t="str">
        <f t="shared" si="11"/>
        <v/>
      </c>
      <c r="V332" s="7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</row>
    <row r="333" ht="14.25" customHeight="1">
      <c r="A333" s="2"/>
      <c r="B333" s="2"/>
      <c r="C333" s="2"/>
      <c r="D333" s="2"/>
      <c r="E333" s="2"/>
      <c r="F333" s="2"/>
      <c r="G333" s="2"/>
      <c r="H333" s="125">
        <f t="shared" si="20"/>
        <v>317</v>
      </c>
      <c r="I333" s="97">
        <f t="shared" si="18"/>
        <v>4289.139272</v>
      </c>
      <c r="J333" s="97">
        <f t="shared" si="19"/>
        <v>3598.212308</v>
      </c>
      <c r="K333" s="97">
        <f t="shared" si="4"/>
        <v>690.9269638</v>
      </c>
      <c r="L333" s="97">
        <f t="shared" si="16"/>
        <v>169141.7307</v>
      </c>
      <c r="M333" s="97">
        <f t="shared" si="17"/>
        <v>648358.2693</v>
      </c>
      <c r="N333" s="235">
        <f t="shared" si="5"/>
        <v>711290.6778</v>
      </c>
      <c r="O333" s="241" t="str">
        <f t="shared" si="14"/>
        <v/>
      </c>
      <c r="P333" s="242" t="str">
        <f t="shared" si="6"/>
        <v/>
      </c>
      <c r="Q333" s="242" t="str">
        <f t="shared" si="7"/>
        <v/>
      </c>
      <c r="R333" s="242" t="str">
        <f t="shared" si="8"/>
        <v/>
      </c>
      <c r="S333" s="242" t="str">
        <f t="shared" si="9"/>
        <v/>
      </c>
      <c r="T333" s="242" t="str">
        <f t="shared" si="10"/>
        <v/>
      </c>
      <c r="U333" s="242" t="str">
        <f t="shared" si="11"/>
        <v/>
      </c>
      <c r="V333" s="7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</row>
    <row r="334" ht="14.25" customHeight="1">
      <c r="A334" s="2"/>
      <c r="B334" s="2"/>
      <c r="C334" s="2"/>
      <c r="D334" s="2"/>
      <c r="E334" s="2"/>
      <c r="F334" s="2"/>
      <c r="G334" s="2"/>
      <c r="H334" s="125">
        <f t="shared" si="20"/>
        <v>318</v>
      </c>
      <c r="I334" s="97">
        <f t="shared" si="18"/>
        <v>4289.139272</v>
      </c>
      <c r="J334" s="97">
        <f t="shared" si="19"/>
        <v>3612.605157</v>
      </c>
      <c r="K334" s="97">
        <f t="shared" si="4"/>
        <v>676.5341146</v>
      </c>
      <c r="L334" s="97">
        <f t="shared" si="16"/>
        <v>165529.1256</v>
      </c>
      <c r="M334" s="97">
        <f t="shared" si="17"/>
        <v>651970.8744</v>
      </c>
      <c r="N334" s="235">
        <f t="shared" si="5"/>
        <v>711967.2119</v>
      </c>
      <c r="O334" s="241" t="str">
        <f t="shared" si="14"/>
        <v/>
      </c>
      <c r="P334" s="242" t="str">
        <f t="shared" si="6"/>
        <v/>
      </c>
      <c r="Q334" s="242" t="str">
        <f t="shared" si="7"/>
        <v/>
      </c>
      <c r="R334" s="242" t="str">
        <f t="shared" si="8"/>
        <v/>
      </c>
      <c r="S334" s="242" t="str">
        <f t="shared" si="9"/>
        <v/>
      </c>
      <c r="T334" s="242" t="str">
        <f t="shared" si="10"/>
        <v/>
      </c>
      <c r="U334" s="242" t="str">
        <f t="shared" si="11"/>
        <v/>
      </c>
      <c r="V334" s="7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</row>
    <row r="335" ht="14.25" customHeight="1">
      <c r="A335" s="2"/>
      <c r="B335" s="2"/>
      <c r="C335" s="2"/>
      <c r="D335" s="2"/>
      <c r="E335" s="2"/>
      <c r="F335" s="2"/>
      <c r="G335" s="2"/>
      <c r="H335" s="125">
        <f t="shared" si="20"/>
        <v>319</v>
      </c>
      <c r="I335" s="97">
        <f t="shared" si="18"/>
        <v>4289.139272</v>
      </c>
      <c r="J335" s="97">
        <f t="shared" si="19"/>
        <v>3627.055578</v>
      </c>
      <c r="K335" s="97">
        <f t="shared" si="4"/>
        <v>662.083694</v>
      </c>
      <c r="L335" s="97">
        <f t="shared" si="16"/>
        <v>161902.07</v>
      </c>
      <c r="M335" s="97">
        <f t="shared" si="17"/>
        <v>655597.93</v>
      </c>
      <c r="N335" s="235">
        <f t="shared" si="5"/>
        <v>712629.2956</v>
      </c>
      <c r="O335" s="241" t="str">
        <f t="shared" si="14"/>
        <v/>
      </c>
      <c r="P335" s="242" t="str">
        <f t="shared" si="6"/>
        <v/>
      </c>
      <c r="Q335" s="242" t="str">
        <f t="shared" si="7"/>
        <v/>
      </c>
      <c r="R335" s="242" t="str">
        <f t="shared" si="8"/>
        <v/>
      </c>
      <c r="S335" s="242" t="str">
        <f t="shared" si="9"/>
        <v/>
      </c>
      <c r="T335" s="242" t="str">
        <f t="shared" si="10"/>
        <v/>
      </c>
      <c r="U335" s="242" t="str">
        <f t="shared" si="11"/>
        <v/>
      </c>
      <c r="V335" s="7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</row>
    <row r="336" ht="14.25" customHeight="1">
      <c r="A336" s="2"/>
      <c r="B336" s="2"/>
      <c r="C336" s="2"/>
      <c r="D336" s="2"/>
      <c r="E336" s="2"/>
      <c r="F336" s="2"/>
      <c r="G336" s="2"/>
      <c r="H336" s="125">
        <f t="shared" si="20"/>
        <v>320</v>
      </c>
      <c r="I336" s="97">
        <f t="shared" si="18"/>
        <v>4289.139272</v>
      </c>
      <c r="J336" s="97">
        <f t="shared" si="19"/>
        <v>3641.5638</v>
      </c>
      <c r="K336" s="97">
        <f t="shared" si="4"/>
        <v>647.5754716</v>
      </c>
      <c r="L336" s="97">
        <f t="shared" si="16"/>
        <v>158260.5062</v>
      </c>
      <c r="M336" s="97">
        <f t="shared" si="17"/>
        <v>659239.4938</v>
      </c>
      <c r="N336" s="235">
        <f t="shared" si="5"/>
        <v>713276.8711</v>
      </c>
      <c r="O336" s="241" t="str">
        <f t="shared" si="14"/>
        <v/>
      </c>
      <c r="P336" s="242" t="str">
        <f t="shared" si="6"/>
        <v/>
      </c>
      <c r="Q336" s="242" t="str">
        <f t="shared" si="7"/>
        <v/>
      </c>
      <c r="R336" s="242" t="str">
        <f t="shared" si="8"/>
        <v/>
      </c>
      <c r="S336" s="242" t="str">
        <f t="shared" si="9"/>
        <v/>
      </c>
      <c r="T336" s="242" t="str">
        <f t="shared" si="10"/>
        <v/>
      </c>
      <c r="U336" s="242" t="str">
        <f t="shared" si="11"/>
        <v/>
      </c>
      <c r="V336" s="7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</row>
    <row r="337" ht="14.25" customHeight="1">
      <c r="A337" s="2"/>
      <c r="B337" s="2"/>
      <c r="C337" s="2"/>
      <c r="D337" s="2"/>
      <c r="E337" s="2"/>
      <c r="F337" s="2"/>
      <c r="G337" s="2"/>
      <c r="H337" s="125">
        <f t="shared" si="20"/>
        <v>321</v>
      </c>
      <c r="I337" s="97">
        <f t="shared" si="18"/>
        <v>4289.139272</v>
      </c>
      <c r="J337" s="97">
        <f t="shared" si="19"/>
        <v>3656.130055</v>
      </c>
      <c r="K337" s="97">
        <f t="shared" si="4"/>
        <v>633.0092164</v>
      </c>
      <c r="L337" s="97">
        <f t="shared" si="16"/>
        <v>154604.3762</v>
      </c>
      <c r="M337" s="97">
        <f t="shared" si="17"/>
        <v>662895.6238</v>
      </c>
      <c r="N337" s="235">
        <f t="shared" si="5"/>
        <v>713909.8803</v>
      </c>
      <c r="O337" s="241" t="str">
        <f t="shared" si="14"/>
        <v/>
      </c>
      <c r="P337" s="242" t="str">
        <f t="shared" si="6"/>
        <v/>
      </c>
      <c r="Q337" s="242" t="str">
        <f t="shared" si="7"/>
        <v/>
      </c>
      <c r="R337" s="242" t="str">
        <f t="shared" si="8"/>
        <v/>
      </c>
      <c r="S337" s="242" t="str">
        <f t="shared" si="9"/>
        <v/>
      </c>
      <c r="T337" s="242" t="str">
        <f t="shared" si="10"/>
        <v/>
      </c>
      <c r="U337" s="242" t="str">
        <f t="shared" si="11"/>
        <v/>
      </c>
      <c r="V337" s="7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</row>
    <row r="338" ht="14.25" customHeight="1">
      <c r="A338" s="2"/>
      <c r="B338" s="2"/>
      <c r="C338" s="2"/>
      <c r="D338" s="2"/>
      <c r="E338" s="2"/>
      <c r="F338" s="2"/>
      <c r="G338" s="2"/>
      <c r="H338" s="125">
        <f t="shared" si="20"/>
        <v>322</v>
      </c>
      <c r="I338" s="97">
        <f t="shared" si="18"/>
        <v>4289.139272</v>
      </c>
      <c r="J338" s="97">
        <f t="shared" si="19"/>
        <v>3670.754576</v>
      </c>
      <c r="K338" s="97">
        <f t="shared" si="4"/>
        <v>618.3846962</v>
      </c>
      <c r="L338" s="97">
        <f t="shared" si="16"/>
        <v>150933.6216</v>
      </c>
      <c r="M338" s="97">
        <f t="shared" si="17"/>
        <v>666566.3784</v>
      </c>
      <c r="N338" s="235">
        <f t="shared" si="5"/>
        <v>714528.265</v>
      </c>
      <c r="O338" s="241" t="str">
        <f t="shared" si="14"/>
        <v/>
      </c>
      <c r="P338" s="242" t="str">
        <f t="shared" si="6"/>
        <v/>
      </c>
      <c r="Q338" s="242" t="str">
        <f t="shared" si="7"/>
        <v/>
      </c>
      <c r="R338" s="242" t="str">
        <f t="shared" si="8"/>
        <v/>
      </c>
      <c r="S338" s="242" t="str">
        <f t="shared" si="9"/>
        <v/>
      </c>
      <c r="T338" s="242" t="str">
        <f t="shared" si="10"/>
        <v/>
      </c>
      <c r="U338" s="242" t="str">
        <f t="shared" si="11"/>
        <v/>
      </c>
      <c r="V338" s="7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</row>
    <row r="339" ht="14.25" customHeight="1">
      <c r="A339" s="2"/>
      <c r="B339" s="2"/>
      <c r="C339" s="2"/>
      <c r="D339" s="2"/>
      <c r="E339" s="2"/>
      <c r="F339" s="2"/>
      <c r="G339" s="2"/>
      <c r="H339" s="125">
        <f t="shared" si="20"/>
        <v>323</v>
      </c>
      <c r="I339" s="97">
        <f t="shared" si="18"/>
        <v>4289.139272</v>
      </c>
      <c r="J339" s="97">
        <f t="shared" si="19"/>
        <v>3685.437594</v>
      </c>
      <c r="K339" s="97">
        <f t="shared" si="4"/>
        <v>603.7016779</v>
      </c>
      <c r="L339" s="97">
        <f t="shared" si="16"/>
        <v>147248.184</v>
      </c>
      <c r="M339" s="97">
        <f t="shared" si="17"/>
        <v>670251.816</v>
      </c>
      <c r="N339" s="235">
        <f t="shared" si="5"/>
        <v>715131.9667</v>
      </c>
      <c r="O339" s="241" t="str">
        <f t="shared" si="14"/>
        <v/>
      </c>
      <c r="P339" s="242" t="str">
        <f t="shared" si="6"/>
        <v/>
      </c>
      <c r="Q339" s="242" t="str">
        <f t="shared" si="7"/>
        <v/>
      </c>
      <c r="R339" s="242" t="str">
        <f t="shared" si="8"/>
        <v/>
      </c>
      <c r="S339" s="242" t="str">
        <f t="shared" si="9"/>
        <v/>
      </c>
      <c r="T339" s="242" t="str">
        <f t="shared" si="10"/>
        <v/>
      </c>
      <c r="U339" s="242" t="str">
        <f t="shared" si="11"/>
        <v/>
      </c>
      <c r="V339" s="7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</row>
    <row r="340" ht="14.25" customHeight="1">
      <c r="A340" s="2"/>
      <c r="B340" s="2"/>
      <c r="C340" s="2"/>
      <c r="D340" s="2"/>
      <c r="E340" s="2"/>
      <c r="F340" s="2"/>
      <c r="G340" s="2"/>
      <c r="H340" s="125">
        <f t="shared" si="20"/>
        <v>324</v>
      </c>
      <c r="I340" s="97">
        <f t="shared" si="18"/>
        <v>4289.139272</v>
      </c>
      <c r="J340" s="97">
        <f t="shared" si="19"/>
        <v>3700.179344</v>
      </c>
      <c r="K340" s="97">
        <f t="shared" si="4"/>
        <v>588.9599275</v>
      </c>
      <c r="L340" s="97">
        <f t="shared" si="16"/>
        <v>143548.0046</v>
      </c>
      <c r="M340" s="97">
        <f t="shared" si="17"/>
        <v>673951.9954</v>
      </c>
      <c r="N340" s="235">
        <f t="shared" si="5"/>
        <v>715720.9266</v>
      </c>
      <c r="O340" s="241" t="str">
        <f t="shared" si="14"/>
        <v/>
      </c>
      <c r="P340" s="242" t="str">
        <f t="shared" si="6"/>
        <v/>
      </c>
      <c r="Q340" s="242" t="str">
        <f t="shared" si="7"/>
        <v/>
      </c>
      <c r="R340" s="242" t="str">
        <f t="shared" si="8"/>
        <v/>
      </c>
      <c r="S340" s="242" t="str">
        <f t="shared" si="9"/>
        <v/>
      </c>
      <c r="T340" s="242" t="str">
        <f t="shared" si="10"/>
        <v/>
      </c>
      <c r="U340" s="242" t="str">
        <f t="shared" si="11"/>
        <v/>
      </c>
      <c r="V340" s="7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</row>
    <row r="341" ht="14.25" customHeight="1">
      <c r="A341" s="2"/>
      <c r="B341" s="2"/>
      <c r="C341" s="2"/>
      <c r="D341" s="2"/>
      <c r="E341" s="2"/>
      <c r="F341" s="2"/>
      <c r="G341" s="2"/>
      <c r="H341" s="125">
        <f t="shared" si="20"/>
        <v>325</v>
      </c>
      <c r="I341" s="97">
        <f t="shared" si="18"/>
        <v>4289.139272</v>
      </c>
      <c r="J341" s="97">
        <f t="shared" si="19"/>
        <v>3714.980062</v>
      </c>
      <c r="K341" s="97">
        <f t="shared" si="4"/>
        <v>574.1592102</v>
      </c>
      <c r="L341" s="97">
        <f t="shared" si="16"/>
        <v>139833.0246</v>
      </c>
      <c r="M341" s="97">
        <f t="shared" si="17"/>
        <v>677666.9754</v>
      </c>
      <c r="N341" s="235">
        <f t="shared" si="5"/>
        <v>716295.0858</v>
      </c>
      <c r="O341" s="241" t="str">
        <f t="shared" si="14"/>
        <v/>
      </c>
      <c r="P341" s="242" t="str">
        <f t="shared" si="6"/>
        <v/>
      </c>
      <c r="Q341" s="242" t="str">
        <f t="shared" si="7"/>
        <v/>
      </c>
      <c r="R341" s="242" t="str">
        <f t="shared" si="8"/>
        <v/>
      </c>
      <c r="S341" s="242" t="str">
        <f t="shared" si="9"/>
        <v/>
      </c>
      <c r="T341" s="242" t="str">
        <f t="shared" si="10"/>
        <v/>
      </c>
      <c r="U341" s="242" t="str">
        <f t="shared" si="11"/>
        <v/>
      </c>
      <c r="V341" s="7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</row>
    <row r="342" ht="14.25" customHeight="1">
      <c r="A342" s="2"/>
      <c r="B342" s="2"/>
      <c r="C342" s="2"/>
      <c r="D342" s="2"/>
      <c r="E342" s="2"/>
      <c r="F342" s="2"/>
      <c r="G342" s="2"/>
      <c r="H342" s="125">
        <f t="shared" si="20"/>
        <v>326</v>
      </c>
      <c r="I342" s="97">
        <f t="shared" si="18"/>
        <v>4289.139272</v>
      </c>
      <c r="J342" s="97">
        <f t="shared" si="19"/>
        <v>3729.839982</v>
      </c>
      <c r="K342" s="97">
        <f t="shared" si="4"/>
        <v>559.2992899</v>
      </c>
      <c r="L342" s="97">
        <f t="shared" si="16"/>
        <v>136103.1846</v>
      </c>
      <c r="M342" s="97">
        <f t="shared" si="17"/>
        <v>681396.8154</v>
      </c>
      <c r="N342" s="235">
        <f t="shared" si="5"/>
        <v>716854.3851</v>
      </c>
      <c r="O342" s="241" t="str">
        <f t="shared" si="14"/>
        <v/>
      </c>
      <c r="P342" s="242" t="str">
        <f t="shared" si="6"/>
        <v/>
      </c>
      <c r="Q342" s="242" t="str">
        <f t="shared" si="7"/>
        <v/>
      </c>
      <c r="R342" s="242" t="str">
        <f t="shared" si="8"/>
        <v/>
      </c>
      <c r="S342" s="242" t="str">
        <f t="shared" si="9"/>
        <v/>
      </c>
      <c r="T342" s="242" t="str">
        <f t="shared" si="10"/>
        <v/>
      </c>
      <c r="U342" s="242" t="str">
        <f t="shared" si="11"/>
        <v/>
      </c>
      <c r="V342" s="7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</row>
    <row r="343" ht="14.25" customHeight="1">
      <c r="A343" s="2"/>
      <c r="B343" s="2"/>
      <c r="C343" s="2"/>
      <c r="D343" s="2"/>
      <c r="E343" s="2"/>
      <c r="F343" s="2"/>
      <c r="G343" s="2"/>
      <c r="H343" s="125">
        <f t="shared" si="20"/>
        <v>327</v>
      </c>
      <c r="I343" s="97">
        <f t="shared" si="18"/>
        <v>4289.139272</v>
      </c>
      <c r="J343" s="97">
        <f t="shared" si="19"/>
        <v>3744.759342</v>
      </c>
      <c r="K343" s="97">
        <f t="shared" si="4"/>
        <v>544.37993</v>
      </c>
      <c r="L343" s="97">
        <f t="shared" si="16"/>
        <v>132358.4253</v>
      </c>
      <c r="M343" s="97">
        <f t="shared" si="17"/>
        <v>685141.5747</v>
      </c>
      <c r="N343" s="235">
        <f t="shared" si="5"/>
        <v>717398.765</v>
      </c>
      <c r="O343" s="241" t="str">
        <f t="shared" si="14"/>
        <v/>
      </c>
      <c r="P343" s="242" t="str">
        <f t="shared" si="6"/>
        <v/>
      </c>
      <c r="Q343" s="242" t="str">
        <f t="shared" si="7"/>
        <v/>
      </c>
      <c r="R343" s="242" t="str">
        <f t="shared" si="8"/>
        <v/>
      </c>
      <c r="S343" s="242" t="str">
        <f t="shared" si="9"/>
        <v/>
      </c>
      <c r="T343" s="242" t="str">
        <f t="shared" si="10"/>
        <v/>
      </c>
      <c r="U343" s="242" t="str">
        <f t="shared" si="11"/>
        <v/>
      </c>
      <c r="V343" s="7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</row>
    <row r="344" ht="14.25" customHeight="1">
      <c r="A344" s="2"/>
      <c r="B344" s="2"/>
      <c r="C344" s="2"/>
      <c r="D344" s="2"/>
      <c r="E344" s="2"/>
      <c r="F344" s="2"/>
      <c r="G344" s="2"/>
      <c r="H344" s="125">
        <f t="shared" si="20"/>
        <v>328</v>
      </c>
      <c r="I344" s="97">
        <f t="shared" si="18"/>
        <v>4289.139272</v>
      </c>
      <c r="J344" s="97">
        <f t="shared" si="19"/>
        <v>3759.738379</v>
      </c>
      <c r="K344" s="97">
        <f t="shared" si="4"/>
        <v>529.4008926</v>
      </c>
      <c r="L344" s="97">
        <f t="shared" si="16"/>
        <v>128598.6869</v>
      </c>
      <c r="M344" s="97">
        <f t="shared" si="17"/>
        <v>688901.3131</v>
      </c>
      <c r="N344" s="235">
        <f t="shared" si="5"/>
        <v>717928.1659</v>
      </c>
      <c r="O344" s="241" t="str">
        <f t="shared" si="14"/>
        <v/>
      </c>
      <c r="P344" s="242" t="str">
        <f t="shared" si="6"/>
        <v/>
      </c>
      <c r="Q344" s="242" t="str">
        <f t="shared" si="7"/>
        <v/>
      </c>
      <c r="R344" s="242" t="str">
        <f t="shared" si="8"/>
        <v/>
      </c>
      <c r="S344" s="242" t="str">
        <f t="shared" si="9"/>
        <v/>
      </c>
      <c r="T344" s="242" t="str">
        <f t="shared" si="10"/>
        <v/>
      </c>
      <c r="U344" s="242" t="str">
        <f t="shared" si="11"/>
        <v/>
      </c>
      <c r="V344" s="7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</row>
    <row r="345" ht="14.25" customHeight="1">
      <c r="A345" s="2"/>
      <c r="B345" s="2"/>
      <c r="C345" s="2"/>
      <c r="D345" s="2"/>
      <c r="E345" s="2"/>
      <c r="F345" s="2"/>
      <c r="G345" s="2"/>
      <c r="H345" s="125">
        <f t="shared" si="20"/>
        <v>329</v>
      </c>
      <c r="I345" s="97">
        <f t="shared" si="18"/>
        <v>4289.139272</v>
      </c>
      <c r="J345" s="97">
        <f t="shared" si="19"/>
        <v>3774.777333</v>
      </c>
      <c r="K345" s="97">
        <f t="shared" si="4"/>
        <v>514.3619391</v>
      </c>
      <c r="L345" s="97">
        <f t="shared" si="16"/>
        <v>124823.9095</v>
      </c>
      <c r="M345" s="97">
        <f t="shared" si="17"/>
        <v>692676.0905</v>
      </c>
      <c r="N345" s="235">
        <f t="shared" si="5"/>
        <v>718442.5278</v>
      </c>
      <c r="O345" s="241" t="str">
        <f t="shared" si="14"/>
        <v/>
      </c>
      <c r="P345" s="242" t="str">
        <f t="shared" si="6"/>
        <v/>
      </c>
      <c r="Q345" s="242" t="str">
        <f t="shared" si="7"/>
        <v/>
      </c>
      <c r="R345" s="242" t="str">
        <f t="shared" si="8"/>
        <v/>
      </c>
      <c r="S345" s="242" t="str">
        <f t="shared" si="9"/>
        <v/>
      </c>
      <c r="T345" s="242" t="str">
        <f t="shared" si="10"/>
        <v/>
      </c>
      <c r="U345" s="242" t="str">
        <f t="shared" si="11"/>
        <v/>
      </c>
      <c r="V345" s="7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</row>
    <row r="346" ht="14.25" customHeight="1">
      <c r="A346" s="2"/>
      <c r="B346" s="2"/>
      <c r="C346" s="2"/>
      <c r="D346" s="2"/>
      <c r="E346" s="2"/>
      <c r="F346" s="2"/>
      <c r="G346" s="2"/>
      <c r="H346" s="125">
        <f t="shared" si="20"/>
        <v>330</v>
      </c>
      <c r="I346" s="97">
        <f t="shared" si="18"/>
        <v>4289.139272</v>
      </c>
      <c r="J346" s="97">
        <f t="shared" si="19"/>
        <v>3789.876442</v>
      </c>
      <c r="K346" s="97">
        <f t="shared" si="4"/>
        <v>499.2628298</v>
      </c>
      <c r="L346" s="97">
        <f t="shared" si="16"/>
        <v>121034.0331</v>
      </c>
      <c r="M346" s="97">
        <f t="shared" si="17"/>
        <v>696465.9669</v>
      </c>
      <c r="N346" s="235">
        <f t="shared" si="5"/>
        <v>718941.7907</v>
      </c>
      <c r="O346" s="241" t="str">
        <f t="shared" si="14"/>
        <v/>
      </c>
      <c r="P346" s="242" t="str">
        <f t="shared" si="6"/>
        <v/>
      </c>
      <c r="Q346" s="242" t="str">
        <f t="shared" si="7"/>
        <v/>
      </c>
      <c r="R346" s="242" t="str">
        <f t="shared" si="8"/>
        <v/>
      </c>
      <c r="S346" s="242" t="str">
        <f t="shared" si="9"/>
        <v/>
      </c>
      <c r="T346" s="242" t="str">
        <f t="shared" si="10"/>
        <v/>
      </c>
      <c r="U346" s="242" t="str">
        <f t="shared" si="11"/>
        <v/>
      </c>
      <c r="V346" s="7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</row>
    <row r="347" ht="14.25" customHeight="1">
      <c r="A347" s="2"/>
      <c r="B347" s="2"/>
      <c r="C347" s="2"/>
      <c r="D347" s="2"/>
      <c r="E347" s="2"/>
      <c r="F347" s="2"/>
      <c r="G347" s="2"/>
      <c r="H347" s="125">
        <f t="shared" si="20"/>
        <v>331</v>
      </c>
      <c r="I347" s="97">
        <f t="shared" si="18"/>
        <v>4289.139272</v>
      </c>
      <c r="J347" s="97">
        <f t="shared" si="19"/>
        <v>3805.035948</v>
      </c>
      <c r="K347" s="97">
        <f t="shared" si="4"/>
        <v>484.103324</v>
      </c>
      <c r="L347" s="97">
        <f t="shared" si="16"/>
        <v>117228.9972</v>
      </c>
      <c r="M347" s="97">
        <f t="shared" si="17"/>
        <v>700271.0028</v>
      </c>
      <c r="N347" s="235">
        <f t="shared" si="5"/>
        <v>719425.894</v>
      </c>
      <c r="O347" s="241" t="str">
        <f t="shared" si="14"/>
        <v/>
      </c>
      <c r="P347" s="242" t="str">
        <f t="shared" si="6"/>
        <v/>
      </c>
      <c r="Q347" s="242" t="str">
        <f t="shared" si="7"/>
        <v/>
      </c>
      <c r="R347" s="242" t="str">
        <f t="shared" si="8"/>
        <v/>
      </c>
      <c r="S347" s="242" t="str">
        <f t="shared" si="9"/>
        <v/>
      </c>
      <c r="T347" s="242" t="str">
        <f t="shared" si="10"/>
        <v/>
      </c>
      <c r="U347" s="242" t="str">
        <f t="shared" si="11"/>
        <v/>
      </c>
      <c r="V347" s="7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</row>
    <row r="348" ht="14.25" customHeight="1">
      <c r="A348" s="2"/>
      <c r="B348" s="2"/>
      <c r="C348" s="2"/>
      <c r="D348" s="2"/>
      <c r="E348" s="2"/>
      <c r="F348" s="2"/>
      <c r="G348" s="2"/>
      <c r="H348" s="125">
        <f t="shared" si="20"/>
        <v>332</v>
      </c>
      <c r="I348" s="97">
        <f t="shared" si="18"/>
        <v>4289.139272</v>
      </c>
      <c r="J348" s="97">
        <f t="shared" si="19"/>
        <v>3820.256092</v>
      </c>
      <c r="K348" s="97">
        <f t="shared" si="4"/>
        <v>468.8831802</v>
      </c>
      <c r="L348" s="97">
        <f t="shared" si="16"/>
        <v>113408.7411</v>
      </c>
      <c r="M348" s="97">
        <f t="shared" si="17"/>
        <v>704091.2589</v>
      </c>
      <c r="N348" s="235">
        <f t="shared" si="5"/>
        <v>719894.7772</v>
      </c>
      <c r="O348" s="241" t="str">
        <f t="shared" si="14"/>
        <v/>
      </c>
      <c r="P348" s="242" t="str">
        <f t="shared" si="6"/>
        <v/>
      </c>
      <c r="Q348" s="242" t="str">
        <f t="shared" si="7"/>
        <v/>
      </c>
      <c r="R348" s="242" t="str">
        <f t="shared" si="8"/>
        <v/>
      </c>
      <c r="S348" s="242" t="str">
        <f t="shared" si="9"/>
        <v/>
      </c>
      <c r="T348" s="242" t="str">
        <f t="shared" si="10"/>
        <v/>
      </c>
      <c r="U348" s="242" t="str">
        <f t="shared" si="11"/>
        <v/>
      </c>
      <c r="V348" s="7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</row>
    <row r="349" ht="14.25" customHeight="1">
      <c r="A349" s="2"/>
      <c r="B349" s="2"/>
      <c r="C349" s="2"/>
      <c r="D349" s="2"/>
      <c r="E349" s="2"/>
      <c r="F349" s="2"/>
      <c r="G349" s="2"/>
      <c r="H349" s="125">
        <f t="shared" si="20"/>
        <v>333</v>
      </c>
      <c r="I349" s="97">
        <f t="shared" si="18"/>
        <v>4289.139272</v>
      </c>
      <c r="J349" s="97">
        <f t="shared" si="19"/>
        <v>3835.537116</v>
      </c>
      <c r="K349" s="97">
        <f t="shared" si="4"/>
        <v>453.6021559</v>
      </c>
      <c r="L349" s="97">
        <f t="shared" si="16"/>
        <v>109573.2039</v>
      </c>
      <c r="M349" s="97">
        <f t="shared" si="17"/>
        <v>707926.7961</v>
      </c>
      <c r="N349" s="235">
        <f t="shared" si="5"/>
        <v>720348.3793</v>
      </c>
      <c r="O349" s="241" t="str">
        <f t="shared" si="14"/>
        <v/>
      </c>
      <c r="P349" s="242" t="str">
        <f t="shared" si="6"/>
        <v/>
      </c>
      <c r="Q349" s="242" t="str">
        <f t="shared" si="7"/>
        <v/>
      </c>
      <c r="R349" s="242" t="str">
        <f t="shared" si="8"/>
        <v/>
      </c>
      <c r="S349" s="242" t="str">
        <f t="shared" si="9"/>
        <v/>
      </c>
      <c r="T349" s="242" t="str">
        <f t="shared" si="10"/>
        <v/>
      </c>
      <c r="U349" s="242" t="str">
        <f t="shared" si="11"/>
        <v/>
      </c>
      <c r="V349" s="7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</row>
    <row r="350" ht="14.25" customHeight="1">
      <c r="A350" s="2"/>
      <c r="B350" s="2"/>
      <c r="C350" s="2"/>
      <c r="D350" s="2"/>
      <c r="E350" s="2"/>
      <c r="F350" s="2"/>
      <c r="G350" s="2"/>
      <c r="H350" s="125">
        <f t="shared" si="20"/>
        <v>334</v>
      </c>
      <c r="I350" s="97">
        <f t="shared" si="18"/>
        <v>4289.139272</v>
      </c>
      <c r="J350" s="97">
        <f t="shared" si="19"/>
        <v>3850.879264</v>
      </c>
      <c r="K350" s="97">
        <f t="shared" si="4"/>
        <v>438.2600074</v>
      </c>
      <c r="L350" s="97">
        <f t="shared" si="16"/>
        <v>105722.3247</v>
      </c>
      <c r="M350" s="97">
        <f t="shared" si="17"/>
        <v>711777.6753</v>
      </c>
      <c r="N350" s="235">
        <f t="shared" si="5"/>
        <v>720786.6393</v>
      </c>
      <c r="O350" s="241" t="str">
        <f t="shared" si="14"/>
        <v/>
      </c>
      <c r="P350" s="242" t="str">
        <f t="shared" si="6"/>
        <v/>
      </c>
      <c r="Q350" s="242" t="str">
        <f t="shared" si="7"/>
        <v/>
      </c>
      <c r="R350" s="242" t="str">
        <f t="shared" si="8"/>
        <v/>
      </c>
      <c r="S350" s="242" t="str">
        <f t="shared" si="9"/>
        <v/>
      </c>
      <c r="T350" s="242" t="str">
        <f t="shared" si="10"/>
        <v/>
      </c>
      <c r="U350" s="242" t="str">
        <f t="shared" si="11"/>
        <v/>
      </c>
      <c r="V350" s="7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</row>
    <row r="351" ht="14.25" customHeight="1">
      <c r="A351" s="2"/>
      <c r="B351" s="2"/>
      <c r="C351" s="2"/>
      <c r="D351" s="2"/>
      <c r="E351" s="2"/>
      <c r="F351" s="2"/>
      <c r="G351" s="2"/>
      <c r="H351" s="125">
        <f t="shared" si="20"/>
        <v>335</v>
      </c>
      <c r="I351" s="97">
        <f t="shared" si="18"/>
        <v>4289.139272</v>
      </c>
      <c r="J351" s="97">
        <f t="shared" si="19"/>
        <v>3866.282781</v>
      </c>
      <c r="K351" s="97">
        <f t="shared" si="4"/>
        <v>422.8564903</v>
      </c>
      <c r="L351" s="97">
        <f t="shared" si="16"/>
        <v>101856.0419</v>
      </c>
      <c r="M351" s="97">
        <f t="shared" si="17"/>
        <v>715643.9581</v>
      </c>
      <c r="N351" s="235">
        <f t="shared" si="5"/>
        <v>721209.4958</v>
      </c>
      <c r="O351" s="241" t="str">
        <f t="shared" si="14"/>
        <v/>
      </c>
      <c r="P351" s="242" t="str">
        <f t="shared" si="6"/>
        <v/>
      </c>
      <c r="Q351" s="242" t="str">
        <f t="shared" si="7"/>
        <v/>
      </c>
      <c r="R351" s="242" t="str">
        <f t="shared" si="8"/>
        <v/>
      </c>
      <c r="S351" s="242" t="str">
        <f t="shared" si="9"/>
        <v/>
      </c>
      <c r="T351" s="242" t="str">
        <f t="shared" si="10"/>
        <v/>
      </c>
      <c r="U351" s="242" t="str">
        <f t="shared" si="11"/>
        <v/>
      </c>
      <c r="V351" s="7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</row>
    <row r="352" ht="14.25" customHeight="1">
      <c r="A352" s="2"/>
      <c r="B352" s="2"/>
      <c r="C352" s="2"/>
      <c r="D352" s="2"/>
      <c r="E352" s="2"/>
      <c r="F352" s="2"/>
      <c r="G352" s="2"/>
      <c r="H352" s="125">
        <f t="shared" si="20"/>
        <v>336</v>
      </c>
      <c r="I352" s="97">
        <f t="shared" si="18"/>
        <v>4289.139272</v>
      </c>
      <c r="J352" s="97">
        <f t="shared" si="19"/>
        <v>3881.747913</v>
      </c>
      <c r="K352" s="97">
        <f t="shared" si="4"/>
        <v>407.3913592</v>
      </c>
      <c r="L352" s="97">
        <f t="shared" si="16"/>
        <v>97974.29399</v>
      </c>
      <c r="M352" s="97">
        <f t="shared" si="17"/>
        <v>719525.706</v>
      </c>
      <c r="N352" s="235">
        <f t="shared" si="5"/>
        <v>721616.8872</v>
      </c>
      <c r="O352" s="241" t="str">
        <f t="shared" si="14"/>
        <v/>
      </c>
      <c r="P352" s="242" t="str">
        <f t="shared" si="6"/>
        <v/>
      </c>
      <c r="Q352" s="242" t="str">
        <f t="shared" si="7"/>
        <v/>
      </c>
      <c r="R352" s="242" t="str">
        <f t="shared" si="8"/>
        <v/>
      </c>
      <c r="S352" s="242" t="str">
        <f t="shared" si="9"/>
        <v/>
      </c>
      <c r="T352" s="242" t="str">
        <f t="shared" si="10"/>
        <v/>
      </c>
      <c r="U352" s="242" t="str">
        <f t="shared" si="11"/>
        <v/>
      </c>
      <c r="V352" s="7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</row>
    <row r="353" ht="14.25" customHeight="1">
      <c r="A353" s="2"/>
      <c r="B353" s="2"/>
      <c r="C353" s="2"/>
      <c r="D353" s="2"/>
      <c r="E353" s="2"/>
      <c r="F353" s="2"/>
      <c r="G353" s="2"/>
      <c r="H353" s="125">
        <f t="shared" si="20"/>
        <v>337</v>
      </c>
      <c r="I353" s="97">
        <f t="shared" si="18"/>
        <v>4289.139272</v>
      </c>
      <c r="J353" s="97">
        <f t="shared" si="19"/>
        <v>3897.274904</v>
      </c>
      <c r="K353" s="97">
        <f t="shared" si="4"/>
        <v>391.8643676</v>
      </c>
      <c r="L353" s="97">
        <f t="shared" si="16"/>
        <v>94077.01908</v>
      </c>
      <c r="M353" s="97">
        <f t="shared" si="17"/>
        <v>723422.9809</v>
      </c>
      <c r="N353" s="235">
        <f t="shared" si="5"/>
        <v>722008.7516</v>
      </c>
      <c r="O353" s="241" t="str">
        <f t="shared" si="14"/>
        <v/>
      </c>
      <c r="P353" s="242" t="str">
        <f t="shared" si="6"/>
        <v/>
      </c>
      <c r="Q353" s="242" t="str">
        <f t="shared" si="7"/>
        <v/>
      </c>
      <c r="R353" s="242" t="str">
        <f t="shared" si="8"/>
        <v/>
      </c>
      <c r="S353" s="242" t="str">
        <f t="shared" si="9"/>
        <v/>
      </c>
      <c r="T353" s="242" t="str">
        <f t="shared" si="10"/>
        <v/>
      </c>
      <c r="U353" s="242" t="str">
        <f t="shared" si="11"/>
        <v/>
      </c>
      <c r="V353" s="7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</row>
    <row r="354" ht="14.25" customHeight="1">
      <c r="A354" s="2"/>
      <c r="B354" s="2"/>
      <c r="C354" s="2"/>
      <c r="D354" s="2"/>
      <c r="E354" s="2"/>
      <c r="F354" s="2"/>
      <c r="G354" s="2"/>
      <c r="H354" s="125">
        <f t="shared" si="20"/>
        <v>338</v>
      </c>
      <c r="I354" s="97">
        <f t="shared" si="18"/>
        <v>4289.139272</v>
      </c>
      <c r="J354" s="97">
        <f t="shared" si="19"/>
        <v>3912.864004</v>
      </c>
      <c r="K354" s="97">
        <f t="shared" si="4"/>
        <v>376.2752679</v>
      </c>
      <c r="L354" s="97">
        <f t="shared" si="16"/>
        <v>90164.15508</v>
      </c>
      <c r="M354" s="97">
        <f t="shared" si="17"/>
        <v>727335.8449</v>
      </c>
      <c r="N354" s="235">
        <f t="shared" si="5"/>
        <v>722385.0268</v>
      </c>
      <c r="O354" s="241" t="str">
        <f t="shared" si="14"/>
        <v/>
      </c>
      <c r="P354" s="242" t="str">
        <f t="shared" si="6"/>
        <v/>
      </c>
      <c r="Q354" s="242" t="str">
        <f t="shared" si="7"/>
        <v/>
      </c>
      <c r="R354" s="242" t="str">
        <f t="shared" si="8"/>
        <v/>
      </c>
      <c r="S354" s="242" t="str">
        <f t="shared" si="9"/>
        <v/>
      </c>
      <c r="T354" s="242" t="str">
        <f t="shared" si="10"/>
        <v/>
      </c>
      <c r="U354" s="242" t="str">
        <f t="shared" si="11"/>
        <v/>
      </c>
      <c r="V354" s="7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</row>
    <row r="355" ht="14.25" customHeight="1">
      <c r="A355" s="2"/>
      <c r="B355" s="2"/>
      <c r="C355" s="2"/>
      <c r="D355" s="2"/>
      <c r="E355" s="2"/>
      <c r="F355" s="2"/>
      <c r="G355" s="2"/>
      <c r="H355" s="125">
        <f t="shared" si="20"/>
        <v>339</v>
      </c>
      <c r="I355" s="97">
        <f t="shared" si="18"/>
        <v>4289.139272</v>
      </c>
      <c r="J355" s="97">
        <f t="shared" si="19"/>
        <v>3928.51546</v>
      </c>
      <c r="K355" s="97">
        <f t="shared" si="4"/>
        <v>360.6238119</v>
      </c>
      <c r="L355" s="97">
        <f t="shared" si="16"/>
        <v>86235.63962</v>
      </c>
      <c r="M355" s="97">
        <f t="shared" si="17"/>
        <v>731264.3604</v>
      </c>
      <c r="N355" s="235">
        <f t="shared" si="5"/>
        <v>722745.6506</v>
      </c>
      <c r="O355" s="241" t="str">
        <f t="shared" si="14"/>
        <v/>
      </c>
      <c r="P355" s="242" t="str">
        <f t="shared" si="6"/>
        <v/>
      </c>
      <c r="Q355" s="242" t="str">
        <f t="shared" si="7"/>
        <v/>
      </c>
      <c r="R355" s="242" t="str">
        <f t="shared" si="8"/>
        <v/>
      </c>
      <c r="S355" s="242" t="str">
        <f t="shared" si="9"/>
        <v/>
      </c>
      <c r="T355" s="242" t="str">
        <f t="shared" si="10"/>
        <v/>
      </c>
      <c r="U355" s="242" t="str">
        <f t="shared" si="11"/>
        <v/>
      </c>
      <c r="V355" s="7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</row>
    <row r="356" ht="14.25" customHeight="1">
      <c r="A356" s="2"/>
      <c r="B356" s="2"/>
      <c r="C356" s="2"/>
      <c r="D356" s="2"/>
      <c r="E356" s="2"/>
      <c r="F356" s="2"/>
      <c r="G356" s="2"/>
      <c r="H356" s="125">
        <f t="shared" si="20"/>
        <v>340</v>
      </c>
      <c r="I356" s="97">
        <f t="shared" si="18"/>
        <v>4289.139272</v>
      </c>
      <c r="J356" s="97">
        <f t="shared" si="19"/>
        <v>3944.229522</v>
      </c>
      <c r="K356" s="97">
        <f t="shared" si="4"/>
        <v>344.9097501</v>
      </c>
      <c r="L356" s="97">
        <f t="shared" si="16"/>
        <v>82291.4101</v>
      </c>
      <c r="M356" s="97">
        <f t="shared" si="17"/>
        <v>735208.5899</v>
      </c>
      <c r="N356" s="235">
        <f t="shared" si="5"/>
        <v>723090.5604</v>
      </c>
      <c r="O356" s="241" t="str">
        <f t="shared" si="14"/>
        <v/>
      </c>
      <c r="P356" s="242" t="str">
        <f t="shared" si="6"/>
        <v/>
      </c>
      <c r="Q356" s="242" t="str">
        <f t="shared" si="7"/>
        <v/>
      </c>
      <c r="R356" s="242" t="str">
        <f t="shared" si="8"/>
        <v/>
      </c>
      <c r="S356" s="242" t="str">
        <f t="shared" si="9"/>
        <v/>
      </c>
      <c r="T356" s="242" t="str">
        <f t="shared" si="10"/>
        <v/>
      </c>
      <c r="U356" s="242" t="str">
        <f t="shared" si="11"/>
        <v/>
      </c>
      <c r="V356" s="7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</row>
    <row r="357" ht="14.25" customHeight="1">
      <c r="A357" s="2"/>
      <c r="B357" s="2"/>
      <c r="C357" s="2"/>
      <c r="D357" s="2"/>
      <c r="E357" s="2"/>
      <c r="F357" s="2"/>
      <c r="G357" s="2"/>
      <c r="H357" s="125">
        <f t="shared" si="20"/>
        <v>341</v>
      </c>
      <c r="I357" s="97">
        <f t="shared" si="18"/>
        <v>4289.139272</v>
      </c>
      <c r="J357" s="97">
        <f t="shared" si="19"/>
        <v>3960.00644</v>
      </c>
      <c r="K357" s="97">
        <f t="shared" si="4"/>
        <v>329.132832</v>
      </c>
      <c r="L357" s="97">
        <f t="shared" si="16"/>
        <v>78331.40366</v>
      </c>
      <c r="M357" s="97">
        <f t="shared" si="17"/>
        <v>739168.5963</v>
      </c>
      <c r="N357" s="235">
        <f t="shared" si="5"/>
        <v>723419.6932</v>
      </c>
      <c r="O357" s="241" t="str">
        <f t="shared" si="14"/>
        <v/>
      </c>
      <c r="P357" s="242" t="str">
        <f t="shared" si="6"/>
        <v/>
      </c>
      <c r="Q357" s="242" t="str">
        <f t="shared" si="7"/>
        <v/>
      </c>
      <c r="R357" s="242" t="str">
        <f t="shared" si="8"/>
        <v/>
      </c>
      <c r="S357" s="242" t="str">
        <f t="shared" si="9"/>
        <v/>
      </c>
      <c r="T357" s="242" t="str">
        <f t="shared" si="10"/>
        <v/>
      </c>
      <c r="U357" s="242" t="str">
        <f t="shared" si="11"/>
        <v/>
      </c>
      <c r="V357" s="7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</row>
    <row r="358" ht="14.25" customHeight="1">
      <c r="A358" s="2"/>
      <c r="B358" s="2"/>
      <c r="C358" s="2"/>
      <c r="D358" s="2"/>
      <c r="E358" s="2"/>
      <c r="F358" s="2"/>
      <c r="G358" s="2"/>
      <c r="H358" s="125">
        <f t="shared" si="20"/>
        <v>342</v>
      </c>
      <c r="I358" s="97">
        <f t="shared" si="18"/>
        <v>4289.139272</v>
      </c>
      <c r="J358" s="97">
        <f t="shared" si="19"/>
        <v>3975.846465</v>
      </c>
      <c r="K358" s="97">
        <f t="shared" si="4"/>
        <v>313.2928062</v>
      </c>
      <c r="L358" s="97">
        <f t="shared" si="16"/>
        <v>74355.55719</v>
      </c>
      <c r="M358" s="97">
        <f t="shared" si="17"/>
        <v>743144.4428</v>
      </c>
      <c r="N358" s="235">
        <f t="shared" si="5"/>
        <v>723732.986</v>
      </c>
      <c r="O358" s="241" t="str">
        <f t="shared" si="14"/>
        <v/>
      </c>
      <c r="P358" s="242" t="str">
        <f t="shared" si="6"/>
        <v/>
      </c>
      <c r="Q358" s="242" t="str">
        <f t="shared" si="7"/>
        <v/>
      </c>
      <c r="R358" s="242" t="str">
        <f t="shared" si="8"/>
        <v/>
      </c>
      <c r="S358" s="242" t="str">
        <f t="shared" si="9"/>
        <v/>
      </c>
      <c r="T358" s="242" t="str">
        <f t="shared" si="10"/>
        <v/>
      </c>
      <c r="U358" s="242" t="str">
        <f t="shared" si="11"/>
        <v/>
      </c>
      <c r="V358" s="7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</row>
    <row r="359" ht="14.25" customHeight="1">
      <c r="A359" s="2"/>
      <c r="B359" s="2"/>
      <c r="C359" s="2"/>
      <c r="D359" s="2"/>
      <c r="E359" s="2"/>
      <c r="F359" s="2"/>
      <c r="G359" s="2"/>
      <c r="H359" s="125">
        <f t="shared" si="20"/>
        <v>343</v>
      </c>
      <c r="I359" s="97">
        <f t="shared" si="18"/>
        <v>4289.139272</v>
      </c>
      <c r="J359" s="97">
        <f t="shared" si="19"/>
        <v>3991.749851</v>
      </c>
      <c r="K359" s="97">
        <f t="shared" si="4"/>
        <v>297.3894204</v>
      </c>
      <c r="L359" s="97">
        <f t="shared" si="16"/>
        <v>70363.80734</v>
      </c>
      <c r="M359" s="97">
        <f t="shared" si="17"/>
        <v>747136.1927</v>
      </c>
      <c r="N359" s="235">
        <f t="shared" si="5"/>
        <v>724030.3755</v>
      </c>
      <c r="O359" s="241" t="str">
        <f t="shared" si="14"/>
        <v/>
      </c>
      <c r="P359" s="242" t="str">
        <f t="shared" si="6"/>
        <v/>
      </c>
      <c r="Q359" s="242" t="str">
        <f t="shared" si="7"/>
        <v/>
      </c>
      <c r="R359" s="242" t="str">
        <f t="shared" si="8"/>
        <v/>
      </c>
      <c r="S359" s="242" t="str">
        <f t="shared" si="9"/>
        <v/>
      </c>
      <c r="T359" s="242" t="str">
        <f t="shared" si="10"/>
        <v/>
      </c>
      <c r="U359" s="242" t="str">
        <f t="shared" si="11"/>
        <v/>
      </c>
      <c r="V359" s="7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</row>
    <row r="360" ht="14.25" customHeight="1">
      <c r="A360" s="2"/>
      <c r="B360" s="2"/>
      <c r="C360" s="2"/>
      <c r="D360" s="2"/>
      <c r="E360" s="2"/>
      <c r="F360" s="2"/>
      <c r="G360" s="2"/>
      <c r="H360" s="125">
        <f t="shared" si="20"/>
        <v>344</v>
      </c>
      <c r="I360" s="97">
        <f t="shared" si="18"/>
        <v>4289.139272</v>
      </c>
      <c r="J360" s="97">
        <f t="shared" si="19"/>
        <v>4007.716851</v>
      </c>
      <c r="K360" s="97">
        <f t="shared" si="4"/>
        <v>281.422421</v>
      </c>
      <c r="L360" s="97">
        <f t="shared" si="16"/>
        <v>66356.09049</v>
      </c>
      <c r="M360" s="97">
        <f t="shared" si="17"/>
        <v>751143.9095</v>
      </c>
      <c r="N360" s="235">
        <f t="shared" si="5"/>
        <v>724311.7979</v>
      </c>
      <c r="O360" s="241" t="str">
        <f t="shared" si="14"/>
        <v/>
      </c>
      <c r="P360" s="242" t="str">
        <f t="shared" si="6"/>
        <v/>
      </c>
      <c r="Q360" s="242" t="str">
        <f t="shared" si="7"/>
        <v/>
      </c>
      <c r="R360" s="242" t="str">
        <f t="shared" si="8"/>
        <v/>
      </c>
      <c r="S360" s="242" t="str">
        <f t="shared" si="9"/>
        <v/>
      </c>
      <c r="T360" s="242" t="str">
        <f t="shared" si="10"/>
        <v/>
      </c>
      <c r="U360" s="242" t="str">
        <f t="shared" si="11"/>
        <v/>
      </c>
      <c r="V360" s="7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</row>
    <row r="361" ht="14.25" customHeight="1">
      <c r="A361" s="2"/>
      <c r="B361" s="2"/>
      <c r="C361" s="2"/>
      <c r="D361" s="2"/>
      <c r="E361" s="2"/>
      <c r="F361" s="2"/>
      <c r="G361" s="2"/>
      <c r="H361" s="125">
        <f t="shared" si="20"/>
        <v>345</v>
      </c>
      <c r="I361" s="97">
        <f t="shared" si="18"/>
        <v>4289.139272</v>
      </c>
      <c r="J361" s="97">
        <f t="shared" si="19"/>
        <v>4023.747718</v>
      </c>
      <c r="K361" s="97">
        <f t="shared" si="4"/>
        <v>265.3915536</v>
      </c>
      <c r="L361" s="97">
        <f t="shared" si="16"/>
        <v>62332.34277</v>
      </c>
      <c r="M361" s="97">
        <f t="shared" si="17"/>
        <v>755167.6572</v>
      </c>
      <c r="N361" s="235">
        <f t="shared" si="5"/>
        <v>724577.1894</v>
      </c>
      <c r="O361" s="241" t="str">
        <f t="shared" si="14"/>
        <v/>
      </c>
      <c r="P361" s="242" t="str">
        <f t="shared" si="6"/>
        <v/>
      </c>
      <c r="Q361" s="242" t="str">
        <f t="shared" si="7"/>
        <v/>
      </c>
      <c r="R361" s="242" t="str">
        <f t="shared" si="8"/>
        <v/>
      </c>
      <c r="S361" s="242" t="str">
        <f t="shared" si="9"/>
        <v/>
      </c>
      <c r="T361" s="242" t="str">
        <f t="shared" si="10"/>
        <v/>
      </c>
      <c r="U361" s="242" t="str">
        <f t="shared" si="11"/>
        <v/>
      </c>
      <c r="V361" s="7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</row>
    <row r="362" ht="14.25" customHeight="1">
      <c r="A362" s="2"/>
      <c r="B362" s="2"/>
      <c r="C362" s="2"/>
      <c r="D362" s="2"/>
      <c r="E362" s="2"/>
      <c r="F362" s="2"/>
      <c r="G362" s="2"/>
      <c r="H362" s="125">
        <f t="shared" si="20"/>
        <v>346</v>
      </c>
      <c r="I362" s="97">
        <f t="shared" si="18"/>
        <v>4289.139272</v>
      </c>
      <c r="J362" s="97">
        <f t="shared" si="19"/>
        <v>4039.842709</v>
      </c>
      <c r="K362" s="97">
        <f t="shared" si="4"/>
        <v>249.2965627</v>
      </c>
      <c r="L362" s="97">
        <f t="shared" si="16"/>
        <v>58292.50006</v>
      </c>
      <c r="M362" s="97">
        <f t="shared" si="17"/>
        <v>759207.4999</v>
      </c>
      <c r="N362" s="235">
        <f t="shared" si="5"/>
        <v>724826.486</v>
      </c>
      <c r="O362" s="241" t="str">
        <f t="shared" si="14"/>
        <v/>
      </c>
      <c r="P362" s="242" t="str">
        <f t="shared" si="6"/>
        <v/>
      </c>
      <c r="Q362" s="242" t="str">
        <f t="shared" si="7"/>
        <v/>
      </c>
      <c r="R362" s="242" t="str">
        <f t="shared" si="8"/>
        <v/>
      </c>
      <c r="S362" s="242" t="str">
        <f t="shared" si="9"/>
        <v/>
      </c>
      <c r="T362" s="242" t="str">
        <f t="shared" si="10"/>
        <v/>
      </c>
      <c r="U362" s="242" t="str">
        <f t="shared" si="11"/>
        <v/>
      </c>
      <c r="V362" s="7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</row>
    <row r="363" ht="14.25" customHeight="1">
      <c r="A363" s="2"/>
      <c r="B363" s="2"/>
      <c r="C363" s="2"/>
      <c r="D363" s="2"/>
      <c r="E363" s="2"/>
      <c r="F363" s="2"/>
      <c r="G363" s="2"/>
      <c r="H363" s="125">
        <f t="shared" si="20"/>
        <v>347</v>
      </c>
      <c r="I363" s="97">
        <f t="shared" si="18"/>
        <v>4289.139272</v>
      </c>
      <c r="J363" s="97">
        <f t="shared" si="19"/>
        <v>4056.00208</v>
      </c>
      <c r="K363" s="97">
        <f t="shared" si="4"/>
        <v>233.1371919</v>
      </c>
      <c r="L363" s="97">
        <f t="shared" si="16"/>
        <v>54236.49798</v>
      </c>
      <c r="M363" s="97">
        <f t="shared" si="17"/>
        <v>763263.502</v>
      </c>
      <c r="N363" s="235">
        <f t="shared" si="5"/>
        <v>725059.6232</v>
      </c>
      <c r="O363" s="241" t="str">
        <f t="shared" si="14"/>
        <v/>
      </c>
      <c r="P363" s="242" t="str">
        <f t="shared" si="6"/>
        <v/>
      </c>
      <c r="Q363" s="242" t="str">
        <f t="shared" si="7"/>
        <v/>
      </c>
      <c r="R363" s="242" t="str">
        <f t="shared" si="8"/>
        <v/>
      </c>
      <c r="S363" s="242" t="str">
        <f t="shared" si="9"/>
        <v/>
      </c>
      <c r="T363" s="242" t="str">
        <f t="shared" si="10"/>
        <v/>
      </c>
      <c r="U363" s="242" t="str">
        <f t="shared" si="11"/>
        <v/>
      </c>
      <c r="V363" s="7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</row>
    <row r="364" ht="14.25" customHeight="1">
      <c r="A364" s="2"/>
      <c r="B364" s="2"/>
      <c r="C364" s="2"/>
      <c r="D364" s="2"/>
      <c r="E364" s="2"/>
      <c r="F364" s="2"/>
      <c r="G364" s="2"/>
      <c r="H364" s="125">
        <f t="shared" si="20"/>
        <v>348</v>
      </c>
      <c r="I364" s="97">
        <f t="shared" si="18"/>
        <v>4289.139272</v>
      </c>
      <c r="J364" s="97">
        <f t="shared" si="19"/>
        <v>4072.226088</v>
      </c>
      <c r="K364" s="97">
        <f t="shared" si="4"/>
        <v>216.9131835</v>
      </c>
      <c r="L364" s="97">
        <f t="shared" si="16"/>
        <v>50164.2719</v>
      </c>
      <c r="M364" s="97">
        <f t="shared" si="17"/>
        <v>767335.7281</v>
      </c>
      <c r="N364" s="235">
        <f t="shared" si="5"/>
        <v>725276.5364</v>
      </c>
      <c r="O364" s="241" t="str">
        <f t="shared" si="14"/>
        <v/>
      </c>
      <c r="P364" s="242" t="str">
        <f t="shared" si="6"/>
        <v/>
      </c>
      <c r="Q364" s="242" t="str">
        <f t="shared" si="7"/>
        <v/>
      </c>
      <c r="R364" s="242" t="str">
        <f t="shared" si="8"/>
        <v/>
      </c>
      <c r="S364" s="242" t="str">
        <f t="shared" si="9"/>
        <v/>
      </c>
      <c r="T364" s="242" t="str">
        <f t="shared" si="10"/>
        <v/>
      </c>
      <c r="U364" s="242" t="str">
        <f t="shared" si="11"/>
        <v/>
      </c>
      <c r="V364" s="7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</row>
    <row r="365" ht="14.25" customHeight="1">
      <c r="A365" s="2"/>
      <c r="B365" s="2"/>
      <c r="C365" s="2"/>
      <c r="D365" s="2"/>
      <c r="E365" s="2"/>
      <c r="F365" s="2"/>
      <c r="G365" s="2"/>
      <c r="H365" s="125">
        <f t="shared" si="20"/>
        <v>349</v>
      </c>
      <c r="I365" s="97">
        <f t="shared" si="18"/>
        <v>4289.139272</v>
      </c>
      <c r="J365" s="97">
        <f t="shared" si="19"/>
        <v>4088.514993</v>
      </c>
      <c r="K365" s="97">
        <f t="shared" si="4"/>
        <v>200.6242792</v>
      </c>
      <c r="L365" s="97">
        <f t="shared" si="16"/>
        <v>46075.7569</v>
      </c>
      <c r="M365" s="97">
        <f t="shared" si="17"/>
        <v>771424.2431</v>
      </c>
      <c r="N365" s="235">
        <f t="shared" si="5"/>
        <v>725477.1606</v>
      </c>
      <c r="O365" s="241" t="str">
        <f t="shared" si="14"/>
        <v/>
      </c>
      <c r="P365" s="242" t="str">
        <f t="shared" si="6"/>
        <v/>
      </c>
      <c r="Q365" s="242" t="str">
        <f t="shared" si="7"/>
        <v/>
      </c>
      <c r="R365" s="242" t="str">
        <f t="shared" si="8"/>
        <v/>
      </c>
      <c r="S365" s="242" t="str">
        <f t="shared" si="9"/>
        <v/>
      </c>
      <c r="T365" s="242" t="str">
        <f t="shared" si="10"/>
        <v/>
      </c>
      <c r="U365" s="242" t="str">
        <f t="shared" si="11"/>
        <v/>
      </c>
      <c r="V365" s="7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</row>
    <row r="366" ht="14.25" customHeight="1">
      <c r="A366" s="2"/>
      <c r="B366" s="2"/>
      <c r="C366" s="2"/>
      <c r="D366" s="2"/>
      <c r="E366" s="2"/>
      <c r="F366" s="2"/>
      <c r="G366" s="2"/>
      <c r="H366" s="125">
        <f t="shared" si="20"/>
        <v>350</v>
      </c>
      <c r="I366" s="97">
        <f t="shared" si="18"/>
        <v>4289.139272</v>
      </c>
      <c r="J366" s="97">
        <f t="shared" si="19"/>
        <v>4104.869053</v>
      </c>
      <c r="K366" s="97">
        <f t="shared" si="4"/>
        <v>184.2702192</v>
      </c>
      <c r="L366" s="97">
        <f t="shared" si="16"/>
        <v>41970.88785</v>
      </c>
      <c r="M366" s="97">
        <f t="shared" si="17"/>
        <v>775529.1121</v>
      </c>
      <c r="N366" s="235">
        <f t="shared" si="5"/>
        <v>725661.4309</v>
      </c>
      <c r="O366" s="241" t="str">
        <f t="shared" si="14"/>
        <v/>
      </c>
      <c r="P366" s="242" t="str">
        <f t="shared" si="6"/>
        <v/>
      </c>
      <c r="Q366" s="242" t="str">
        <f t="shared" si="7"/>
        <v/>
      </c>
      <c r="R366" s="242" t="str">
        <f t="shared" si="8"/>
        <v/>
      </c>
      <c r="S366" s="242" t="str">
        <f t="shared" si="9"/>
        <v/>
      </c>
      <c r="T366" s="242" t="str">
        <f t="shared" si="10"/>
        <v/>
      </c>
      <c r="U366" s="242" t="str">
        <f t="shared" si="11"/>
        <v/>
      </c>
      <c r="V366" s="7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</row>
    <row r="367" ht="14.25" customHeight="1">
      <c r="A367" s="2"/>
      <c r="B367" s="2"/>
      <c r="C367" s="2"/>
      <c r="D367" s="2"/>
      <c r="E367" s="2"/>
      <c r="F367" s="2"/>
      <c r="G367" s="2"/>
      <c r="H367" s="125">
        <f t="shared" si="20"/>
        <v>351</v>
      </c>
      <c r="I367" s="97">
        <f t="shared" si="18"/>
        <v>4289.139272</v>
      </c>
      <c r="J367" s="97">
        <f t="shared" si="19"/>
        <v>4121.288529</v>
      </c>
      <c r="K367" s="97">
        <f t="shared" si="4"/>
        <v>167.850743</v>
      </c>
      <c r="L367" s="97">
        <f t="shared" si="16"/>
        <v>37849.59932</v>
      </c>
      <c r="M367" s="97">
        <f t="shared" si="17"/>
        <v>779650.4007</v>
      </c>
      <c r="N367" s="235">
        <f t="shared" si="5"/>
        <v>725829.2816</v>
      </c>
      <c r="O367" s="241" t="str">
        <f t="shared" si="14"/>
        <v/>
      </c>
      <c r="P367" s="242" t="str">
        <f t="shared" si="6"/>
        <v/>
      </c>
      <c r="Q367" s="242" t="str">
        <f t="shared" si="7"/>
        <v/>
      </c>
      <c r="R367" s="242" t="str">
        <f t="shared" si="8"/>
        <v/>
      </c>
      <c r="S367" s="242" t="str">
        <f t="shared" si="9"/>
        <v/>
      </c>
      <c r="T367" s="242" t="str">
        <f t="shared" si="10"/>
        <v/>
      </c>
      <c r="U367" s="242" t="str">
        <f t="shared" si="11"/>
        <v/>
      </c>
      <c r="V367" s="7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</row>
    <row r="368" ht="14.25" customHeight="1">
      <c r="A368" s="2"/>
      <c r="B368" s="2"/>
      <c r="C368" s="2"/>
      <c r="D368" s="2"/>
      <c r="E368" s="2"/>
      <c r="F368" s="2"/>
      <c r="G368" s="2"/>
      <c r="H368" s="125">
        <f t="shared" si="20"/>
        <v>352</v>
      </c>
      <c r="I368" s="97">
        <f t="shared" si="18"/>
        <v>4289.139272</v>
      </c>
      <c r="J368" s="97">
        <f t="shared" si="19"/>
        <v>4137.773683</v>
      </c>
      <c r="K368" s="97">
        <f t="shared" si="4"/>
        <v>151.3655889</v>
      </c>
      <c r="L368" s="97">
        <f t="shared" si="16"/>
        <v>33711.82564</v>
      </c>
      <c r="M368" s="97">
        <f t="shared" si="17"/>
        <v>783788.1744</v>
      </c>
      <c r="N368" s="235">
        <f t="shared" si="5"/>
        <v>725980.6472</v>
      </c>
      <c r="O368" s="241" t="str">
        <f t="shared" si="14"/>
        <v/>
      </c>
      <c r="P368" s="242" t="str">
        <f t="shared" si="6"/>
        <v/>
      </c>
      <c r="Q368" s="242" t="str">
        <f t="shared" si="7"/>
        <v/>
      </c>
      <c r="R368" s="242" t="str">
        <f t="shared" si="8"/>
        <v/>
      </c>
      <c r="S368" s="242" t="str">
        <f t="shared" si="9"/>
        <v/>
      </c>
      <c r="T368" s="242" t="str">
        <f t="shared" si="10"/>
        <v/>
      </c>
      <c r="U368" s="242" t="str">
        <f t="shared" si="11"/>
        <v/>
      </c>
      <c r="V368" s="7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</row>
    <row r="369" ht="14.25" customHeight="1">
      <c r="A369" s="2"/>
      <c r="B369" s="2"/>
      <c r="C369" s="2"/>
      <c r="D369" s="2"/>
      <c r="E369" s="2"/>
      <c r="F369" s="2"/>
      <c r="G369" s="2"/>
      <c r="H369" s="125">
        <f t="shared" si="20"/>
        <v>353</v>
      </c>
      <c r="I369" s="97">
        <f t="shared" si="18"/>
        <v>4289.139272</v>
      </c>
      <c r="J369" s="97">
        <f t="shared" si="19"/>
        <v>4154.324778</v>
      </c>
      <c r="K369" s="97">
        <f t="shared" si="4"/>
        <v>134.8144942</v>
      </c>
      <c r="L369" s="97">
        <f t="shared" si="16"/>
        <v>29557.50086</v>
      </c>
      <c r="M369" s="97">
        <f t="shared" si="17"/>
        <v>787942.4991</v>
      </c>
      <c r="N369" s="235">
        <f t="shared" si="5"/>
        <v>726115.4617</v>
      </c>
      <c r="O369" s="241" t="str">
        <f t="shared" si="14"/>
        <v/>
      </c>
      <c r="P369" s="242" t="str">
        <f t="shared" si="6"/>
        <v/>
      </c>
      <c r="Q369" s="242" t="str">
        <f t="shared" si="7"/>
        <v/>
      </c>
      <c r="R369" s="242" t="str">
        <f t="shared" si="8"/>
        <v/>
      </c>
      <c r="S369" s="242" t="str">
        <f t="shared" si="9"/>
        <v/>
      </c>
      <c r="T369" s="242" t="str">
        <f t="shared" si="10"/>
        <v/>
      </c>
      <c r="U369" s="242" t="str">
        <f t="shared" si="11"/>
        <v/>
      </c>
      <c r="V369" s="7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</row>
    <row r="370" ht="14.25" customHeight="1">
      <c r="A370" s="2"/>
      <c r="B370" s="2"/>
      <c r="C370" s="2"/>
      <c r="D370" s="2"/>
      <c r="E370" s="2"/>
      <c r="F370" s="2"/>
      <c r="G370" s="2"/>
      <c r="H370" s="125">
        <f t="shared" si="20"/>
        <v>354</v>
      </c>
      <c r="I370" s="97">
        <f t="shared" si="18"/>
        <v>4289.139272</v>
      </c>
      <c r="J370" s="97">
        <f t="shared" si="19"/>
        <v>4170.942077</v>
      </c>
      <c r="K370" s="97">
        <f t="shared" si="4"/>
        <v>118.1971951</v>
      </c>
      <c r="L370" s="97">
        <f t="shared" si="16"/>
        <v>25386.55879</v>
      </c>
      <c r="M370" s="97">
        <f t="shared" si="17"/>
        <v>792113.4412</v>
      </c>
      <c r="N370" s="235">
        <f t="shared" si="5"/>
        <v>726233.6589</v>
      </c>
      <c r="O370" s="241" t="str">
        <f t="shared" si="14"/>
        <v/>
      </c>
      <c r="P370" s="242" t="str">
        <f t="shared" si="6"/>
        <v/>
      </c>
      <c r="Q370" s="242" t="str">
        <f t="shared" si="7"/>
        <v/>
      </c>
      <c r="R370" s="242" t="str">
        <f t="shared" si="8"/>
        <v/>
      </c>
      <c r="S370" s="242" t="str">
        <f t="shared" si="9"/>
        <v/>
      </c>
      <c r="T370" s="242" t="str">
        <f t="shared" si="10"/>
        <v/>
      </c>
      <c r="U370" s="242" t="str">
        <f t="shared" si="11"/>
        <v/>
      </c>
      <c r="V370" s="7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</row>
    <row r="371" ht="14.25" customHeight="1">
      <c r="A371" s="2"/>
      <c r="B371" s="2"/>
      <c r="C371" s="2"/>
      <c r="D371" s="2"/>
      <c r="E371" s="2"/>
      <c r="F371" s="2"/>
      <c r="G371" s="2"/>
      <c r="H371" s="125">
        <f t="shared" si="20"/>
        <v>355</v>
      </c>
      <c r="I371" s="97">
        <f t="shared" si="18"/>
        <v>4289.139272</v>
      </c>
      <c r="J371" s="97">
        <f t="shared" si="19"/>
        <v>4187.625845</v>
      </c>
      <c r="K371" s="97">
        <f t="shared" si="4"/>
        <v>101.5134267</v>
      </c>
      <c r="L371" s="97">
        <f t="shared" si="16"/>
        <v>21198.93294</v>
      </c>
      <c r="M371" s="97">
        <f t="shared" si="17"/>
        <v>796301.0671</v>
      </c>
      <c r="N371" s="235">
        <f t="shared" si="5"/>
        <v>726335.1723</v>
      </c>
      <c r="O371" s="241" t="str">
        <f t="shared" si="14"/>
        <v/>
      </c>
      <c r="P371" s="242" t="str">
        <f t="shared" si="6"/>
        <v/>
      </c>
      <c r="Q371" s="242" t="str">
        <f t="shared" si="7"/>
        <v/>
      </c>
      <c r="R371" s="242" t="str">
        <f t="shared" si="8"/>
        <v/>
      </c>
      <c r="S371" s="242" t="str">
        <f t="shared" si="9"/>
        <v/>
      </c>
      <c r="T371" s="242" t="str">
        <f t="shared" si="10"/>
        <v/>
      </c>
      <c r="U371" s="242" t="str">
        <f t="shared" si="11"/>
        <v/>
      </c>
      <c r="V371" s="7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</row>
    <row r="372" ht="14.25" customHeight="1">
      <c r="A372" s="2"/>
      <c r="B372" s="2"/>
      <c r="C372" s="2"/>
      <c r="D372" s="2"/>
      <c r="E372" s="2"/>
      <c r="F372" s="2"/>
      <c r="G372" s="2"/>
      <c r="H372" s="125">
        <f t="shared" si="20"/>
        <v>356</v>
      </c>
      <c r="I372" s="97">
        <f t="shared" si="18"/>
        <v>4289.139272</v>
      </c>
      <c r="J372" s="97">
        <f t="shared" si="19"/>
        <v>4204.376348</v>
      </c>
      <c r="K372" s="97">
        <f t="shared" si="4"/>
        <v>84.76292337</v>
      </c>
      <c r="L372" s="97">
        <f t="shared" si="16"/>
        <v>16994.55659</v>
      </c>
      <c r="M372" s="97">
        <f t="shared" si="17"/>
        <v>800505.4434</v>
      </c>
      <c r="N372" s="235">
        <f t="shared" si="5"/>
        <v>726419.9352</v>
      </c>
      <c r="O372" s="241" t="str">
        <f t="shared" si="14"/>
        <v/>
      </c>
      <c r="P372" s="242" t="str">
        <f t="shared" si="6"/>
        <v/>
      </c>
      <c r="Q372" s="242" t="str">
        <f t="shared" si="7"/>
        <v/>
      </c>
      <c r="R372" s="242" t="str">
        <f t="shared" si="8"/>
        <v/>
      </c>
      <c r="S372" s="242" t="str">
        <f t="shared" si="9"/>
        <v/>
      </c>
      <c r="T372" s="242" t="str">
        <f t="shared" si="10"/>
        <v/>
      </c>
      <c r="U372" s="242" t="str">
        <f t="shared" si="11"/>
        <v/>
      </c>
      <c r="V372" s="7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</row>
    <row r="373" ht="14.25" customHeight="1">
      <c r="A373" s="2"/>
      <c r="B373" s="2"/>
      <c r="C373" s="2"/>
      <c r="D373" s="2"/>
      <c r="E373" s="2"/>
      <c r="F373" s="2"/>
      <c r="G373" s="2"/>
      <c r="H373" s="125">
        <f t="shared" si="20"/>
        <v>357</v>
      </c>
      <c r="I373" s="97">
        <f t="shared" si="18"/>
        <v>4289.139272</v>
      </c>
      <c r="J373" s="97">
        <f t="shared" si="19"/>
        <v>4221.193854</v>
      </c>
      <c r="K373" s="97">
        <f t="shared" si="4"/>
        <v>67.94541798</v>
      </c>
      <c r="L373" s="97">
        <f t="shared" si="16"/>
        <v>12773.36274</v>
      </c>
      <c r="M373" s="97">
        <f t="shared" si="17"/>
        <v>804726.6373</v>
      </c>
      <c r="N373" s="235">
        <f t="shared" si="5"/>
        <v>726487.8807</v>
      </c>
      <c r="O373" s="241" t="str">
        <f t="shared" si="14"/>
        <v/>
      </c>
      <c r="P373" s="242" t="str">
        <f t="shared" si="6"/>
        <v/>
      </c>
      <c r="Q373" s="242" t="str">
        <f t="shared" si="7"/>
        <v/>
      </c>
      <c r="R373" s="242" t="str">
        <f t="shared" si="8"/>
        <v/>
      </c>
      <c r="S373" s="242" t="str">
        <f t="shared" si="9"/>
        <v/>
      </c>
      <c r="T373" s="242" t="str">
        <f t="shared" si="10"/>
        <v/>
      </c>
      <c r="U373" s="242" t="str">
        <f t="shared" si="11"/>
        <v/>
      </c>
      <c r="V373" s="7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</row>
    <row r="374" ht="14.25" customHeight="1">
      <c r="A374" s="2"/>
      <c r="B374" s="2"/>
      <c r="C374" s="2"/>
      <c r="D374" s="2"/>
      <c r="E374" s="2"/>
      <c r="F374" s="2"/>
      <c r="G374" s="2"/>
      <c r="H374" s="125">
        <f t="shared" si="20"/>
        <v>358</v>
      </c>
      <c r="I374" s="97">
        <f t="shared" si="18"/>
        <v>4289.139272</v>
      </c>
      <c r="J374" s="97">
        <f t="shared" si="19"/>
        <v>4238.078629</v>
      </c>
      <c r="K374" s="97">
        <f t="shared" si="4"/>
        <v>51.06064256</v>
      </c>
      <c r="L374" s="97">
        <f t="shared" si="16"/>
        <v>8535.284109</v>
      </c>
      <c r="M374" s="97">
        <f t="shared" si="17"/>
        <v>808964.7159</v>
      </c>
      <c r="N374" s="235">
        <f t="shared" si="5"/>
        <v>726538.9413</v>
      </c>
      <c r="O374" s="241" t="str">
        <f t="shared" si="14"/>
        <v/>
      </c>
      <c r="P374" s="242" t="str">
        <f t="shared" si="6"/>
        <v/>
      </c>
      <c r="Q374" s="242" t="str">
        <f t="shared" si="7"/>
        <v/>
      </c>
      <c r="R374" s="242" t="str">
        <f t="shared" si="8"/>
        <v/>
      </c>
      <c r="S374" s="242" t="str">
        <f t="shared" si="9"/>
        <v/>
      </c>
      <c r="T374" s="242" t="str">
        <f t="shared" si="10"/>
        <v/>
      </c>
      <c r="U374" s="242" t="str">
        <f t="shared" si="11"/>
        <v/>
      </c>
      <c r="V374" s="7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</row>
    <row r="375" ht="14.25" customHeight="1">
      <c r="A375" s="2"/>
      <c r="B375" s="2"/>
      <c r="C375" s="2"/>
      <c r="D375" s="2"/>
      <c r="E375" s="2"/>
      <c r="F375" s="2"/>
      <c r="G375" s="2"/>
      <c r="H375" s="125">
        <f t="shared" si="20"/>
        <v>359</v>
      </c>
      <c r="I375" s="97">
        <f t="shared" si="18"/>
        <v>4289.139272</v>
      </c>
      <c r="J375" s="97">
        <f t="shared" si="19"/>
        <v>4255.030944</v>
      </c>
      <c r="K375" s="97">
        <f t="shared" si="4"/>
        <v>34.10832804</v>
      </c>
      <c r="L375" s="97">
        <f t="shared" si="16"/>
        <v>4280.253166</v>
      </c>
      <c r="M375" s="97">
        <f t="shared" si="17"/>
        <v>813219.7468</v>
      </c>
      <c r="N375" s="235">
        <f t="shared" si="5"/>
        <v>726573.0496</v>
      </c>
      <c r="O375" s="241" t="str">
        <f t="shared" si="14"/>
        <v/>
      </c>
      <c r="P375" s="242" t="str">
        <f t="shared" si="6"/>
        <v/>
      </c>
      <c r="Q375" s="242" t="str">
        <f t="shared" si="7"/>
        <v/>
      </c>
      <c r="R375" s="242" t="str">
        <f t="shared" si="8"/>
        <v/>
      </c>
      <c r="S375" s="242" t="str">
        <f t="shared" si="9"/>
        <v/>
      </c>
      <c r="T375" s="242" t="str">
        <f t="shared" si="10"/>
        <v/>
      </c>
      <c r="U375" s="242" t="str">
        <f t="shared" si="11"/>
        <v/>
      </c>
      <c r="V375" s="7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</row>
    <row r="376" ht="14.25" customHeight="1">
      <c r="A376" s="2"/>
      <c r="B376" s="2"/>
      <c r="C376" s="2"/>
      <c r="D376" s="2"/>
      <c r="E376" s="2"/>
      <c r="F376" s="2"/>
      <c r="G376" s="2"/>
      <c r="H376" s="125">
        <f t="shared" si="20"/>
        <v>360</v>
      </c>
      <c r="I376" s="97">
        <f t="shared" si="18"/>
        <v>4289.139272</v>
      </c>
      <c r="J376" s="97">
        <f t="shared" si="19"/>
        <v>4272.051067</v>
      </c>
      <c r="K376" s="97">
        <f t="shared" si="4"/>
        <v>17.08820427</v>
      </c>
      <c r="L376" s="97">
        <f t="shared" si="16"/>
        <v>8.202098084</v>
      </c>
      <c r="M376" s="97">
        <f t="shared" si="17"/>
        <v>817491.7979</v>
      </c>
      <c r="N376" s="235">
        <f t="shared" si="5"/>
        <v>726590.1378</v>
      </c>
      <c r="O376" s="241" t="str">
        <f t="shared" si="14"/>
        <v/>
      </c>
      <c r="P376" s="242" t="str">
        <f t="shared" si="6"/>
        <v/>
      </c>
      <c r="Q376" s="242" t="str">
        <f t="shared" si="7"/>
        <v/>
      </c>
      <c r="R376" s="242" t="str">
        <f t="shared" si="8"/>
        <v/>
      </c>
      <c r="S376" s="242" t="str">
        <f t="shared" si="9"/>
        <v/>
      </c>
      <c r="T376" s="242" t="str">
        <f t="shared" si="10"/>
        <v/>
      </c>
      <c r="U376" s="242" t="str">
        <f t="shared" si="11"/>
        <v/>
      </c>
      <c r="V376" s="7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</row>
    <row r="377" ht="14.25" customHeight="1">
      <c r="A377" s="2"/>
      <c r="B377" s="2"/>
      <c r="C377" s="2"/>
      <c r="D377" s="2"/>
      <c r="E377" s="2"/>
      <c r="F377" s="2"/>
      <c r="G377" s="2"/>
      <c r="H377" s="125" t="str">
        <f t="shared" si="20"/>
        <v/>
      </c>
      <c r="I377" s="243" t="str">
        <f t="shared" si="18"/>
        <v/>
      </c>
      <c r="J377" s="243" t="str">
        <f t="shared" si="19"/>
        <v/>
      </c>
      <c r="K377" s="243" t="str">
        <f t="shared" si="4"/>
        <v/>
      </c>
      <c r="L377" s="244" t="str">
        <f t="shared" si="16"/>
        <v/>
      </c>
      <c r="M377" s="2"/>
      <c r="N377" s="2"/>
      <c r="O377" s="15"/>
      <c r="P377" s="15"/>
      <c r="Q377" s="15"/>
      <c r="R377" s="15"/>
      <c r="S377" s="15"/>
      <c r="T377" s="15"/>
      <c r="U377" s="15"/>
      <c r="V377" s="7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</row>
    <row r="378" ht="14.25" customHeight="1">
      <c r="A378" s="2"/>
      <c r="B378" s="2"/>
      <c r="C378" s="2"/>
      <c r="D378" s="2"/>
      <c r="E378" s="2"/>
      <c r="F378" s="2"/>
      <c r="G378" s="2"/>
      <c r="H378" s="125" t="str">
        <f t="shared" si="20"/>
        <v/>
      </c>
      <c r="I378" s="243" t="str">
        <f t="shared" si="18"/>
        <v/>
      </c>
      <c r="J378" s="243" t="str">
        <f t="shared" si="19"/>
        <v/>
      </c>
      <c r="K378" s="243" t="str">
        <f t="shared" si="4"/>
        <v/>
      </c>
      <c r="L378" s="244" t="str">
        <f t="shared" ref="L378:L384" si="23">IF(H377&lt;&gt;"",$J$10-SUM($J$17:J378),"")</f>
        <v/>
      </c>
      <c r="M378" s="2"/>
      <c r="N378" s="2"/>
      <c r="O378" s="2"/>
      <c r="P378" s="2"/>
      <c r="Q378" s="2"/>
      <c r="R378" s="2"/>
      <c r="S378" s="2"/>
      <c r="T378" s="2"/>
      <c r="U378" s="2"/>
      <c r="V378" s="7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</row>
    <row r="379" ht="14.25" customHeight="1">
      <c r="A379" s="2"/>
      <c r="B379" s="2"/>
      <c r="C379" s="2"/>
      <c r="D379" s="2"/>
      <c r="E379" s="2"/>
      <c r="F379" s="2"/>
      <c r="G379" s="2"/>
      <c r="H379" s="125" t="str">
        <f t="shared" si="20"/>
        <v/>
      </c>
      <c r="I379" s="243" t="str">
        <f t="shared" si="18"/>
        <v/>
      </c>
      <c r="J379" s="243" t="str">
        <f t="shared" si="19"/>
        <v/>
      </c>
      <c r="K379" s="243" t="str">
        <f t="shared" si="4"/>
        <v/>
      </c>
      <c r="L379" s="244" t="str">
        <f t="shared" si="23"/>
        <v/>
      </c>
      <c r="M379" s="2"/>
      <c r="N379" s="2"/>
      <c r="O379" s="2"/>
      <c r="P379" s="2"/>
      <c r="Q379" s="2"/>
      <c r="R379" s="2"/>
      <c r="S379" s="2"/>
      <c r="T379" s="2"/>
      <c r="U379" s="2"/>
      <c r="V379" s="7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</row>
    <row r="380" ht="14.25" customHeight="1">
      <c r="A380" s="2"/>
      <c r="B380" s="2"/>
      <c r="C380" s="2"/>
      <c r="D380" s="2"/>
      <c r="E380" s="2"/>
      <c r="F380" s="2"/>
      <c r="G380" s="2"/>
      <c r="H380" s="125" t="str">
        <f t="shared" si="20"/>
        <v/>
      </c>
      <c r="I380" s="243" t="str">
        <f t="shared" si="18"/>
        <v/>
      </c>
      <c r="J380" s="243" t="str">
        <f t="shared" si="19"/>
        <v/>
      </c>
      <c r="K380" s="243" t="str">
        <f t="shared" si="4"/>
        <v/>
      </c>
      <c r="L380" s="244" t="str">
        <f t="shared" si="23"/>
        <v/>
      </c>
      <c r="M380" s="2"/>
      <c r="N380" s="2"/>
      <c r="O380" s="2"/>
      <c r="P380" s="2"/>
      <c r="Q380" s="2"/>
      <c r="R380" s="2"/>
      <c r="S380" s="2"/>
      <c r="T380" s="2"/>
      <c r="U380" s="2"/>
      <c r="V380" s="7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</row>
    <row r="381" ht="14.25" customHeight="1">
      <c r="A381" s="2"/>
      <c r="B381" s="2"/>
      <c r="C381" s="2"/>
      <c r="D381" s="2"/>
      <c r="E381" s="2"/>
      <c r="F381" s="2"/>
      <c r="G381" s="2"/>
      <c r="H381" s="125" t="str">
        <f t="shared" si="20"/>
        <v/>
      </c>
      <c r="I381" s="243" t="str">
        <f t="shared" si="18"/>
        <v/>
      </c>
      <c r="J381" s="243" t="str">
        <f t="shared" si="19"/>
        <v/>
      </c>
      <c r="K381" s="243" t="str">
        <f t="shared" si="4"/>
        <v/>
      </c>
      <c r="L381" s="244" t="str">
        <f t="shared" si="23"/>
        <v/>
      </c>
      <c r="M381" s="2"/>
      <c r="N381" s="2"/>
      <c r="O381" s="2"/>
      <c r="P381" s="2"/>
      <c r="Q381" s="2"/>
      <c r="R381" s="2"/>
      <c r="S381" s="2"/>
      <c r="T381" s="2"/>
      <c r="U381" s="2"/>
      <c r="V381" s="7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</row>
    <row r="382" ht="14.25" customHeight="1">
      <c r="A382" s="2"/>
      <c r="B382" s="2"/>
      <c r="C382" s="2"/>
      <c r="D382" s="2"/>
      <c r="E382" s="2"/>
      <c r="F382" s="2"/>
      <c r="G382" s="2"/>
      <c r="H382" s="125" t="str">
        <f t="shared" si="20"/>
        <v/>
      </c>
      <c r="I382" s="243" t="str">
        <f t="shared" si="18"/>
        <v/>
      </c>
      <c r="J382" s="243" t="str">
        <f t="shared" si="19"/>
        <v/>
      </c>
      <c r="K382" s="243" t="str">
        <f t="shared" si="4"/>
        <v/>
      </c>
      <c r="L382" s="244" t="str">
        <f t="shared" si="23"/>
        <v/>
      </c>
      <c r="M382" s="2"/>
      <c r="N382" s="2"/>
      <c r="O382" s="2"/>
      <c r="P382" s="2"/>
      <c r="Q382" s="2"/>
      <c r="R382" s="2"/>
      <c r="S382" s="2"/>
      <c r="T382" s="2"/>
      <c r="U382" s="2"/>
      <c r="V382" s="7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</row>
    <row r="383" ht="14.25" customHeight="1">
      <c r="A383" s="2"/>
      <c r="B383" s="2"/>
      <c r="C383" s="2"/>
      <c r="D383" s="2"/>
      <c r="E383" s="2"/>
      <c r="F383" s="2"/>
      <c r="G383" s="2"/>
      <c r="H383" s="125" t="str">
        <f t="shared" si="20"/>
        <v/>
      </c>
      <c r="I383" s="243" t="str">
        <f t="shared" si="18"/>
        <v/>
      </c>
      <c r="J383" s="243" t="str">
        <f t="shared" si="19"/>
        <v/>
      </c>
      <c r="K383" s="243" t="str">
        <f t="shared" si="4"/>
        <v/>
      </c>
      <c r="L383" s="244" t="str">
        <f t="shared" si="23"/>
        <v/>
      </c>
      <c r="M383" s="2"/>
      <c r="N383" s="2"/>
      <c r="O383" s="2"/>
      <c r="P383" s="2"/>
      <c r="Q383" s="2"/>
      <c r="R383" s="2"/>
      <c r="S383" s="2"/>
      <c r="T383" s="2"/>
      <c r="U383" s="2"/>
      <c r="V383" s="7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</row>
    <row r="384" ht="14.25" customHeight="1">
      <c r="A384" s="2"/>
      <c r="B384" s="2"/>
      <c r="C384" s="2"/>
      <c r="D384" s="2"/>
      <c r="E384" s="2"/>
      <c r="F384" s="2"/>
      <c r="G384" s="2"/>
      <c r="H384" s="125" t="str">
        <f t="shared" si="20"/>
        <v/>
      </c>
      <c r="I384" s="243" t="str">
        <f t="shared" si="18"/>
        <v/>
      </c>
      <c r="J384" s="243" t="str">
        <f t="shared" si="19"/>
        <v/>
      </c>
      <c r="K384" s="243" t="str">
        <f t="shared" si="4"/>
        <v/>
      </c>
      <c r="L384" s="244" t="str">
        <f t="shared" si="23"/>
        <v/>
      </c>
      <c r="M384" s="2"/>
      <c r="N384" s="2"/>
      <c r="O384" s="2"/>
      <c r="P384" s="2"/>
      <c r="Q384" s="2"/>
      <c r="R384" s="2"/>
      <c r="S384" s="2"/>
      <c r="T384" s="2"/>
      <c r="U384" s="2"/>
      <c r="V384" s="7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7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7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7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7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7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7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7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7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7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7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7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7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</row>
    <row r="1000" ht="14.25" customHeight="1">
      <c r="A1000" s="80"/>
      <c r="B1000" s="80"/>
      <c r="C1000" s="80"/>
      <c r="D1000" s="80"/>
      <c r="E1000" s="80"/>
      <c r="F1000" s="80"/>
      <c r="G1000" s="80"/>
      <c r="H1000" s="80"/>
      <c r="I1000" s="80"/>
      <c r="J1000" s="80"/>
      <c r="K1000" s="80"/>
      <c r="L1000" s="80"/>
      <c r="M1000" s="80"/>
      <c r="N1000" s="80"/>
      <c r="O1000" s="80"/>
      <c r="P1000" s="80"/>
      <c r="Q1000" s="80"/>
      <c r="R1000" s="80"/>
      <c r="S1000" s="80"/>
      <c r="T1000" s="80"/>
      <c r="U1000" s="80"/>
      <c r="V1000" s="2"/>
      <c r="W1000" s="2"/>
      <c r="X1000" s="2"/>
      <c r="Y1000" s="80"/>
      <c r="Z1000" s="80"/>
      <c r="AA1000" s="80"/>
      <c r="AB1000" s="80"/>
      <c r="AC1000" s="80"/>
      <c r="AD1000" s="80"/>
      <c r="AE1000" s="80"/>
      <c r="AF1000" s="80"/>
      <c r="AG1000" s="80"/>
      <c r="AH1000" s="80"/>
      <c r="AI1000" s="80"/>
      <c r="AJ1000" s="80"/>
      <c r="AK1000" s="80"/>
      <c r="AL1000" s="80"/>
      <c r="AM1000" s="80"/>
      <c r="AN1000" s="80"/>
      <c r="AO1000" s="80"/>
    </row>
    <row r="1001" ht="14.25" customHeight="1">
      <c r="A1001" s="80"/>
      <c r="B1001" s="80"/>
      <c r="C1001" s="80"/>
      <c r="D1001" s="80"/>
      <c r="E1001" s="80"/>
      <c r="F1001" s="80"/>
      <c r="G1001" s="80"/>
      <c r="H1001" s="80"/>
      <c r="I1001" s="80"/>
      <c r="J1001" s="80"/>
      <c r="K1001" s="80"/>
      <c r="L1001" s="80"/>
      <c r="M1001" s="80"/>
      <c r="N1001" s="80"/>
      <c r="O1001" s="80"/>
      <c r="P1001" s="80"/>
      <c r="Q1001" s="80"/>
      <c r="R1001" s="80"/>
      <c r="S1001" s="80"/>
      <c r="T1001" s="80"/>
      <c r="U1001" s="80"/>
      <c r="V1001" s="2"/>
      <c r="W1001" s="2"/>
      <c r="X1001" s="2"/>
      <c r="Y1001" s="80"/>
      <c r="Z1001" s="80"/>
      <c r="AA1001" s="80"/>
      <c r="AB1001" s="80"/>
      <c r="AC1001" s="80"/>
      <c r="AD1001" s="80"/>
      <c r="AE1001" s="80"/>
      <c r="AF1001" s="80"/>
      <c r="AG1001" s="80"/>
      <c r="AH1001" s="80"/>
      <c r="AI1001" s="80"/>
      <c r="AJ1001" s="80"/>
      <c r="AK1001" s="80"/>
      <c r="AL1001" s="80"/>
      <c r="AM1001" s="80"/>
      <c r="AN1001" s="80"/>
      <c r="AO1001" s="80"/>
    </row>
    <row r="1002" ht="14.25" customHeight="1">
      <c r="A1002" s="80"/>
      <c r="B1002" s="80"/>
      <c r="C1002" s="80"/>
      <c r="D1002" s="80"/>
      <c r="E1002" s="80"/>
      <c r="F1002" s="80"/>
      <c r="G1002" s="80"/>
      <c r="H1002" s="80"/>
      <c r="I1002" s="80"/>
      <c r="J1002" s="80"/>
      <c r="K1002" s="80"/>
      <c r="L1002" s="80"/>
      <c r="M1002" s="80"/>
      <c r="N1002" s="80"/>
      <c r="O1002" s="80"/>
      <c r="P1002" s="80"/>
      <c r="Q1002" s="80"/>
      <c r="R1002" s="80"/>
      <c r="S1002" s="80"/>
      <c r="T1002" s="80"/>
      <c r="U1002" s="80"/>
      <c r="V1002" s="2"/>
      <c r="W1002" s="2"/>
      <c r="X1002" s="2"/>
      <c r="Y1002" s="80"/>
      <c r="Z1002" s="80"/>
      <c r="AA1002" s="80"/>
      <c r="AB1002" s="80"/>
      <c r="AC1002" s="80"/>
      <c r="AD1002" s="80"/>
      <c r="AE1002" s="80"/>
      <c r="AF1002" s="80"/>
      <c r="AG1002" s="80"/>
      <c r="AH1002" s="80"/>
      <c r="AI1002" s="80"/>
      <c r="AJ1002" s="80"/>
      <c r="AK1002" s="80"/>
      <c r="AL1002" s="80"/>
      <c r="AM1002" s="80"/>
      <c r="AN1002" s="80"/>
      <c r="AO1002" s="80"/>
    </row>
    <row r="1003" ht="14.25" customHeight="1">
      <c r="A1003" s="80"/>
      <c r="B1003" s="80"/>
      <c r="C1003" s="80"/>
      <c r="D1003" s="80"/>
      <c r="E1003" s="80"/>
      <c r="F1003" s="80"/>
      <c r="G1003" s="80"/>
      <c r="H1003" s="80"/>
      <c r="I1003" s="80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2"/>
      <c r="W1003" s="2"/>
      <c r="X1003" s="2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</row>
    <row r="1004" ht="14.25" customHeight="1">
      <c r="A1004" s="80"/>
      <c r="B1004" s="80"/>
      <c r="C1004" s="80"/>
      <c r="D1004" s="80"/>
      <c r="E1004" s="80"/>
      <c r="F1004" s="80"/>
      <c r="G1004" s="80"/>
      <c r="H1004" s="80"/>
      <c r="I1004" s="80"/>
      <c r="J1004" s="80"/>
      <c r="K1004" s="80"/>
      <c r="L1004" s="80"/>
      <c r="M1004" s="80"/>
      <c r="N1004" s="80"/>
      <c r="O1004" s="80"/>
      <c r="P1004" s="80"/>
      <c r="Q1004" s="80"/>
      <c r="R1004" s="80"/>
      <c r="S1004" s="80"/>
      <c r="T1004" s="80"/>
      <c r="U1004" s="80"/>
      <c r="V1004" s="2"/>
      <c r="W1004" s="2"/>
      <c r="X1004" s="2"/>
      <c r="Y1004" s="80"/>
      <c r="Z1004" s="80"/>
      <c r="AA1004" s="80"/>
      <c r="AB1004" s="80"/>
      <c r="AC1004" s="80"/>
      <c r="AD1004" s="80"/>
      <c r="AE1004" s="80"/>
      <c r="AF1004" s="80"/>
      <c r="AG1004" s="80"/>
      <c r="AH1004" s="80"/>
      <c r="AI1004" s="80"/>
      <c r="AJ1004" s="80"/>
      <c r="AK1004" s="80"/>
      <c r="AL1004" s="80"/>
      <c r="AM1004" s="80"/>
      <c r="AN1004" s="80"/>
      <c r="AO1004" s="80"/>
    </row>
    <row r="1005" ht="14.25" customHeight="1">
      <c r="A1005" s="80"/>
      <c r="B1005" s="80"/>
      <c r="C1005" s="80"/>
      <c r="D1005" s="80"/>
      <c r="E1005" s="80"/>
      <c r="F1005" s="80"/>
      <c r="G1005" s="80"/>
      <c r="H1005" s="80"/>
      <c r="I1005" s="80"/>
      <c r="J1005" s="80"/>
      <c r="K1005" s="80"/>
      <c r="L1005" s="80"/>
      <c r="M1005" s="80"/>
      <c r="N1005" s="80"/>
      <c r="O1005" s="80"/>
      <c r="P1005" s="80"/>
      <c r="Q1005" s="80"/>
      <c r="R1005" s="80"/>
      <c r="S1005" s="80"/>
      <c r="T1005" s="80"/>
      <c r="U1005" s="80"/>
      <c r="V1005" s="2"/>
      <c r="W1005" s="2"/>
      <c r="X1005" s="2"/>
      <c r="Y1005" s="80"/>
      <c r="Z1005" s="80"/>
      <c r="AA1005" s="80"/>
      <c r="AB1005" s="80"/>
      <c r="AC1005" s="80"/>
      <c r="AD1005" s="80"/>
      <c r="AE1005" s="80"/>
      <c r="AF1005" s="80"/>
      <c r="AG1005" s="80"/>
      <c r="AH1005" s="80"/>
      <c r="AI1005" s="80"/>
      <c r="AJ1005" s="80"/>
      <c r="AK1005" s="80"/>
      <c r="AL1005" s="80"/>
      <c r="AM1005" s="80"/>
      <c r="AN1005" s="80"/>
      <c r="AO1005" s="80"/>
    </row>
    <row r="1006" ht="14.25" customHeight="1">
      <c r="A1006" s="80"/>
      <c r="B1006" s="80"/>
      <c r="C1006" s="80"/>
      <c r="D1006" s="80"/>
      <c r="E1006" s="80"/>
      <c r="F1006" s="80"/>
      <c r="G1006" s="80"/>
      <c r="H1006" s="80"/>
      <c r="I1006" s="80"/>
      <c r="J1006" s="80"/>
      <c r="K1006" s="80"/>
      <c r="L1006" s="80"/>
      <c r="M1006" s="80"/>
      <c r="N1006" s="80"/>
      <c r="O1006" s="80"/>
      <c r="P1006" s="80"/>
      <c r="Q1006" s="80"/>
      <c r="R1006" s="80"/>
      <c r="S1006" s="80"/>
      <c r="T1006" s="80"/>
      <c r="U1006" s="80"/>
      <c r="V1006" s="2"/>
      <c r="W1006" s="2"/>
      <c r="X1006" s="2"/>
      <c r="Y1006" s="80"/>
      <c r="Z1006" s="80"/>
      <c r="AA1006" s="80"/>
      <c r="AB1006" s="80"/>
      <c r="AC1006" s="80"/>
      <c r="AD1006" s="80"/>
      <c r="AE1006" s="80"/>
      <c r="AF1006" s="80"/>
      <c r="AG1006" s="80"/>
      <c r="AH1006" s="80"/>
      <c r="AI1006" s="80"/>
      <c r="AJ1006" s="80"/>
      <c r="AK1006" s="80"/>
      <c r="AL1006" s="80"/>
      <c r="AM1006" s="80"/>
      <c r="AN1006" s="80"/>
      <c r="AO1006" s="80"/>
    </row>
    <row r="1007" ht="14.25" customHeight="1">
      <c r="A1007" s="80"/>
      <c r="B1007" s="80"/>
      <c r="C1007" s="80"/>
      <c r="D1007" s="80"/>
      <c r="E1007" s="80"/>
      <c r="F1007" s="80"/>
      <c r="G1007" s="80"/>
      <c r="H1007" s="80"/>
      <c r="I1007" s="80"/>
      <c r="J1007" s="80"/>
      <c r="K1007" s="80"/>
      <c r="L1007" s="80"/>
      <c r="M1007" s="80"/>
      <c r="N1007" s="80"/>
      <c r="O1007" s="80"/>
      <c r="P1007" s="80"/>
      <c r="Q1007" s="80"/>
      <c r="R1007" s="80"/>
      <c r="S1007" s="80"/>
      <c r="T1007" s="80"/>
      <c r="U1007" s="80"/>
      <c r="V1007" s="2"/>
      <c r="W1007" s="2"/>
      <c r="X1007" s="2"/>
      <c r="Y1007" s="80"/>
      <c r="Z1007" s="80"/>
      <c r="AA1007" s="80"/>
      <c r="AB1007" s="80"/>
      <c r="AC1007" s="80"/>
      <c r="AD1007" s="80"/>
      <c r="AE1007" s="80"/>
      <c r="AF1007" s="80"/>
      <c r="AG1007" s="80"/>
      <c r="AH1007" s="80"/>
      <c r="AI1007" s="80"/>
      <c r="AJ1007" s="80"/>
      <c r="AK1007" s="80"/>
      <c r="AL1007" s="80"/>
      <c r="AM1007" s="80"/>
      <c r="AN1007" s="80"/>
      <c r="AO1007" s="80"/>
    </row>
    <row r="1008" ht="14.25" customHeight="1">
      <c r="A1008" s="80"/>
      <c r="B1008" s="80"/>
      <c r="C1008" s="80"/>
      <c r="D1008" s="80"/>
      <c r="E1008" s="80"/>
      <c r="F1008" s="80"/>
      <c r="G1008" s="80"/>
      <c r="H1008" s="80"/>
      <c r="I1008" s="80"/>
      <c r="J1008" s="80"/>
      <c r="K1008" s="80"/>
      <c r="L1008" s="80"/>
      <c r="M1008" s="80"/>
      <c r="N1008" s="80"/>
      <c r="O1008" s="80"/>
      <c r="P1008" s="80"/>
      <c r="Q1008" s="80"/>
      <c r="R1008" s="80"/>
      <c r="S1008" s="80"/>
      <c r="T1008" s="80"/>
      <c r="U1008" s="80"/>
      <c r="V1008" s="2"/>
      <c r="W1008" s="2"/>
      <c r="X1008" s="2"/>
      <c r="Y1008" s="80"/>
      <c r="Z1008" s="80"/>
      <c r="AA1008" s="80"/>
      <c r="AB1008" s="80"/>
      <c r="AC1008" s="80"/>
      <c r="AD1008" s="80"/>
      <c r="AE1008" s="80"/>
      <c r="AF1008" s="80"/>
      <c r="AG1008" s="80"/>
      <c r="AH1008" s="80"/>
      <c r="AI1008" s="80"/>
      <c r="AJ1008" s="80"/>
      <c r="AK1008" s="80"/>
      <c r="AL1008" s="80"/>
      <c r="AM1008" s="80"/>
      <c r="AN1008" s="80"/>
      <c r="AO1008" s="80"/>
    </row>
    <row r="1009" ht="14.25" customHeight="1">
      <c r="A1009" s="80"/>
      <c r="B1009" s="80"/>
      <c r="C1009" s="80"/>
      <c r="D1009" s="80"/>
      <c r="E1009" s="80"/>
      <c r="F1009" s="80"/>
      <c r="G1009" s="80"/>
      <c r="H1009" s="80"/>
      <c r="I1009" s="80"/>
      <c r="J1009" s="80"/>
      <c r="K1009" s="80"/>
      <c r="L1009" s="80"/>
      <c r="M1009" s="80"/>
      <c r="N1009" s="80"/>
      <c r="O1009" s="80"/>
      <c r="P1009" s="80"/>
      <c r="Q1009" s="80"/>
      <c r="R1009" s="80"/>
      <c r="S1009" s="80"/>
      <c r="T1009" s="80"/>
      <c r="U1009" s="80"/>
      <c r="V1009" s="2"/>
      <c r="W1009" s="2"/>
      <c r="X1009" s="2"/>
      <c r="Y1009" s="80"/>
      <c r="Z1009" s="80"/>
      <c r="AA1009" s="80"/>
      <c r="AB1009" s="80"/>
      <c r="AC1009" s="80"/>
      <c r="AD1009" s="80"/>
      <c r="AE1009" s="80"/>
      <c r="AF1009" s="80"/>
      <c r="AG1009" s="80"/>
      <c r="AH1009" s="80"/>
      <c r="AI1009" s="80"/>
      <c r="AJ1009" s="80"/>
      <c r="AK1009" s="80"/>
      <c r="AL1009" s="80"/>
      <c r="AM1009" s="80"/>
      <c r="AN1009" s="80"/>
      <c r="AO1009" s="80"/>
    </row>
    <row r="1010" ht="14.25" customHeight="1">
      <c r="A1010" s="80"/>
      <c r="B1010" s="80"/>
      <c r="C1010" s="80"/>
      <c r="D1010" s="80"/>
      <c r="E1010" s="80"/>
      <c r="F1010" s="80"/>
      <c r="G1010" s="80"/>
      <c r="H1010" s="80"/>
      <c r="I1010" s="80"/>
      <c r="J1010" s="80"/>
      <c r="K1010" s="80"/>
      <c r="L1010" s="80"/>
      <c r="M1010" s="80"/>
      <c r="N1010" s="80"/>
      <c r="O1010" s="80"/>
      <c r="P1010" s="80"/>
      <c r="Q1010" s="80"/>
      <c r="R1010" s="80"/>
      <c r="S1010" s="80"/>
      <c r="T1010" s="80"/>
      <c r="U1010" s="80"/>
      <c r="V1010" s="2"/>
      <c r="W1010" s="2"/>
      <c r="X1010" s="2"/>
      <c r="Y1010" s="80"/>
      <c r="Z1010" s="80"/>
      <c r="AA1010" s="80"/>
      <c r="AB1010" s="80"/>
      <c r="AC1010" s="80"/>
      <c r="AD1010" s="80"/>
      <c r="AE1010" s="80"/>
      <c r="AF1010" s="80"/>
      <c r="AG1010" s="80"/>
      <c r="AH1010" s="80"/>
      <c r="AI1010" s="80"/>
      <c r="AJ1010" s="80"/>
      <c r="AK1010" s="80"/>
      <c r="AL1010" s="80"/>
      <c r="AM1010" s="80"/>
      <c r="AN1010" s="80"/>
      <c r="AO1010" s="80"/>
    </row>
    <row r="1011" ht="14.25" customHeight="1">
      <c r="A1011" s="80"/>
      <c r="B1011" s="80"/>
      <c r="C1011" s="80"/>
      <c r="D1011" s="80"/>
      <c r="E1011" s="80"/>
      <c r="F1011" s="80"/>
      <c r="G1011" s="80"/>
      <c r="H1011" s="80"/>
      <c r="I1011" s="80"/>
      <c r="J1011" s="80"/>
      <c r="K1011" s="80"/>
      <c r="L1011" s="80"/>
      <c r="M1011" s="80"/>
      <c r="N1011" s="80"/>
      <c r="O1011" s="80"/>
      <c r="P1011" s="80"/>
      <c r="Q1011" s="80"/>
      <c r="R1011" s="80"/>
      <c r="S1011" s="80"/>
      <c r="T1011" s="80"/>
      <c r="U1011" s="80"/>
      <c r="V1011" s="2"/>
      <c r="W1011" s="2"/>
      <c r="X1011" s="2"/>
      <c r="Y1011" s="80"/>
      <c r="Z1011" s="80"/>
      <c r="AA1011" s="80"/>
      <c r="AB1011" s="80"/>
      <c r="AC1011" s="80"/>
      <c r="AD1011" s="80"/>
      <c r="AE1011" s="80"/>
      <c r="AF1011" s="80"/>
      <c r="AG1011" s="80"/>
      <c r="AH1011" s="80"/>
      <c r="AI1011" s="80"/>
      <c r="AJ1011" s="80"/>
      <c r="AK1011" s="80"/>
      <c r="AL1011" s="80"/>
      <c r="AM1011" s="80"/>
      <c r="AN1011" s="80"/>
      <c r="AO1011" s="80"/>
    </row>
    <row r="1012" ht="14.25" customHeight="1">
      <c r="A1012" s="80"/>
      <c r="B1012" s="80"/>
      <c r="C1012" s="80"/>
      <c r="D1012" s="80"/>
      <c r="E1012" s="80"/>
      <c r="F1012" s="80"/>
      <c r="G1012" s="80"/>
      <c r="H1012" s="80"/>
      <c r="I1012" s="80"/>
      <c r="J1012" s="80"/>
      <c r="K1012" s="80"/>
      <c r="L1012" s="80"/>
      <c r="M1012" s="80"/>
      <c r="N1012" s="80"/>
      <c r="O1012" s="80"/>
      <c r="P1012" s="80"/>
      <c r="Q1012" s="80"/>
      <c r="R1012" s="80"/>
      <c r="S1012" s="80"/>
      <c r="T1012" s="80"/>
      <c r="U1012" s="80"/>
      <c r="V1012" s="2"/>
      <c r="W1012" s="2"/>
      <c r="X1012" s="2"/>
      <c r="Y1012" s="80"/>
      <c r="Z1012" s="80"/>
      <c r="AA1012" s="80"/>
      <c r="AB1012" s="80"/>
      <c r="AC1012" s="80"/>
      <c r="AD1012" s="80"/>
      <c r="AE1012" s="80"/>
      <c r="AF1012" s="80"/>
      <c r="AG1012" s="80"/>
      <c r="AH1012" s="80"/>
      <c r="AI1012" s="80"/>
      <c r="AJ1012" s="80"/>
      <c r="AK1012" s="80"/>
      <c r="AL1012" s="80"/>
      <c r="AM1012" s="80"/>
      <c r="AN1012" s="80"/>
      <c r="AO1012" s="80"/>
    </row>
    <row r="1013" ht="14.25" customHeight="1">
      <c r="A1013" s="80"/>
      <c r="B1013" s="80"/>
      <c r="C1013" s="80"/>
      <c r="D1013" s="80"/>
      <c r="E1013" s="80"/>
      <c r="F1013" s="80"/>
      <c r="G1013" s="80"/>
      <c r="H1013" s="80"/>
      <c r="I1013" s="80"/>
      <c r="J1013" s="80"/>
      <c r="K1013" s="80"/>
      <c r="L1013" s="80"/>
      <c r="M1013" s="80"/>
      <c r="N1013" s="80"/>
      <c r="O1013" s="80"/>
      <c r="P1013" s="80"/>
      <c r="Q1013" s="80"/>
      <c r="R1013" s="80"/>
      <c r="S1013" s="80"/>
      <c r="T1013" s="80"/>
      <c r="U1013" s="80"/>
      <c r="V1013" s="2"/>
      <c r="W1013" s="2"/>
      <c r="X1013" s="2"/>
      <c r="Y1013" s="80"/>
      <c r="Z1013" s="80"/>
      <c r="AA1013" s="80"/>
      <c r="AB1013" s="80"/>
      <c r="AC1013" s="80"/>
      <c r="AD1013" s="80"/>
      <c r="AE1013" s="80"/>
      <c r="AF1013" s="80"/>
      <c r="AG1013" s="80"/>
      <c r="AH1013" s="80"/>
      <c r="AI1013" s="80"/>
      <c r="AJ1013" s="80"/>
      <c r="AK1013" s="80"/>
      <c r="AL1013" s="80"/>
      <c r="AM1013" s="80"/>
      <c r="AN1013" s="80"/>
      <c r="AO1013" s="80"/>
    </row>
    <row r="1014" ht="14.25" customHeight="1">
      <c r="A1014" s="80"/>
      <c r="B1014" s="80"/>
      <c r="C1014" s="80"/>
      <c r="D1014" s="80"/>
      <c r="E1014" s="80"/>
      <c r="F1014" s="80"/>
      <c r="G1014" s="80"/>
      <c r="H1014" s="80"/>
      <c r="I1014" s="80"/>
      <c r="J1014" s="80"/>
      <c r="K1014" s="80"/>
      <c r="L1014" s="80"/>
      <c r="M1014" s="80"/>
      <c r="N1014" s="80"/>
      <c r="O1014" s="80"/>
      <c r="P1014" s="80"/>
      <c r="Q1014" s="80"/>
      <c r="R1014" s="80"/>
      <c r="S1014" s="80"/>
      <c r="T1014" s="80"/>
      <c r="U1014" s="80"/>
      <c r="V1014" s="2"/>
      <c r="W1014" s="2"/>
      <c r="X1014" s="2"/>
      <c r="Y1014" s="80"/>
      <c r="Z1014" s="80"/>
      <c r="AA1014" s="80"/>
      <c r="AB1014" s="80"/>
      <c r="AC1014" s="80"/>
      <c r="AD1014" s="80"/>
      <c r="AE1014" s="80"/>
      <c r="AF1014" s="80"/>
      <c r="AG1014" s="80"/>
      <c r="AH1014" s="80"/>
      <c r="AI1014" s="80"/>
      <c r="AJ1014" s="80"/>
      <c r="AK1014" s="80"/>
      <c r="AL1014" s="80"/>
      <c r="AM1014" s="80"/>
      <c r="AN1014" s="80"/>
      <c r="AO1014" s="80"/>
    </row>
    <row r="1015" ht="14.25" customHeight="1">
      <c r="A1015" s="80"/>
      <c r="B1015" s="80"/>
      <c r="C1015" s="80"/>
      <c r="D1015" s="80"/>
      <c r="E1015" s="80"/>
      <c r="F1015" s="80"/>
      <c r="G1015" s="80"/>
      <c r="H1015" s="80"/>
      <c r="I1015" s="80"/>
      <c r="J1015" s="80"/>
      <c r="K1015" s="80"/>
      <c r="L1015" s="80"/>
      <c r="M1015" s="80"/>
      <c r="N1015" s="80"/>
      <c r="O1015" s="80"/>
      <c r="P1015" s="80"/>
      <c r="Q1015" s="80"/>
      <c r="R1015" s="80"/>
      <c r="S1015" s="80"/>
      <c r="T1015" s="80"/>
      <c r="U1015" s="80"/>
      <c r="V1015" s="2"/>
      <c r="W1015" s="2"/>
      <c r="X1015" s="2"/>
      <c r="Y1015" s="80"/>
      <c r="Z1015" s="80"/>
      <c r="AA1015" s="80"/>
      <c r="AB1015" s="80"/>
      <c r="AC1015" s="80"/>
      <c r="AD1015" s="80"/>
      <c r="AE1015" s="80"/>
      <c r="AF1015" s="80"/>
      <c r="AG1015" s="80"/>
      <c r="AH1015" s="80"/>
      <c r="AI1015" s="80"/>
      <c r="AJ1015" s="80"/>
      <c r="AK1015" s="80"/>
      <c r="AL1015" s="80"/>
      <c r="AM1015" s="80"/>
      <c r="AN1015" s="80"/>
      <c r="AO1015" s="80"/>
    </row>
    <row r="1016" ht="14.25" customHeight="1">
      <c r="A1016" s="80"/>
      <c r="B1016" s="80"/>
      <c r="C1016" s="80"/>
      <c r="D1016" s="80"/>
      <c r="E1016" s="80"/>
      <c r="F1016" s="80"/>
      <c r="G1016" s="80"/>
      <c r="H1016" s="80"/>
      <c r="I1016" s="80"/>
      <c r="J1016" s="80"/>
      <c r="K1016" s="80"/>
      <c r="L1016" s="80"/>
      <c r="M1016" s="80"/>
      <c r="N1016" s="80"/>
      <c r="O1016" s="80"/>
      <c r="P1016" s="80"/>
      <c r="Q1016" s="80"/>
      <c r="R1016" s="80"/>
      <c r="S1016" s="80"/>
      <c r="T1016" s="80"/>
      <c r="U1016" s="80"/>
      <c r="V1016" s="2"/>
      <c r="W1016" s="2"/>
      <c r="X1016" s="2"/>
      <c r="Y1016" s="80"/>
      <c r="Z1016" s="80"/>
      <c r="AA1016" s="80"/>
      <c r="AB1016" s="80"/>
      <c r="AC1016" s="80"/>
      <c r="AD1016" s="80"/>
      <c r="AE1016" s="80"/>
      <c r="AF1016" s="80"/>
      <c r="AG1016" s="80"/>
      <c r="AH1016" s="80"/>
      <c r="AI1016" s="80"/>
      <c r="AJ1016" s="80"/>
      <c r="AK1016" s="80"/>
      <c r="AL1016" s="80"/>
      <c r="AM1016" s="80"/>
      <c r="AN1016" s="80"/>
      <c r="AO1016" s="80"/>
    </row>
    <row r="1017" ht="14.25" customHeight="1">
      <c r="A1017" s="80"/>
      <c r="B1017" s="80"/>
      <c r="C1017" s="80"/>
      <c r="D1017" s="80"/>
      <c r="E1017" s="80"/>
      <c r="F1017" s="80"/>
      <c r="G1017" s="80"/>
      <c r="H1017" s="80"/>
      <c r="I1017" s="80"/>
      <c r="J1017" s="80"/>
      <c r="K1017" s="80"/>
      <c r="L1017" s="80"/>
      <c r="M1017" s="80"/>
      <c r="N1017" s="80"/>
      <c r="O1017" s="80"/>
      <c r="P1017" s="80"/>
      <c r="Q1017" s="80"/>
      <c r="R1017" s="80"/>
      <c r="S1017" s="80"/>
      <c r="T1017" s="80"/>
      <c r="U1017" s="80"/>
      <c r="V1017" s="2"/>
      <c r="W1017" s="2"/>
      <c r="X1017" s="2"/>
      <c r="Y1017" s="80"/>
      <c r="Z1017" s="80"/>
      <c r="AA1017" s="80"/>
      <c r="AB1017" s="80"/>
      <c r="AC1017" s="80"/>
      <c r="AD1017" s="80"/>
      <c r="AE1017" s="80"/>
      <c r="AF1017" s="80"/>
      <c r="AG1017" s="80"/>
      <c r="AH1017" s="80"/>
      <c r="AI1017" s="80"/>
      <c r="AJ1017" s="80"/>
      <c r="AK1017" s="80"/>
      <c r="AL1017" s="80"/>
      <c r="AM1017" s="80"/>
      <c r="AN1017" s="80"/>
      <c r="AO1017" s="80"/>
    </row>
    <row r="1018" ht="14.25" customHeight="1">
      <c r="A1018" s="80"/>
      <c r="B1018" s="80"/>
      <c r="C1018" s="80"/>
      <c r="D1018" s="80"/>
      <c r="E1018" s="80"/>
      <c r="F1018" s="80"/>
      <c r="G1018" s="80"/>
      <c r="H1018" s="80"/>
      <c r="I1018" s="80"/>
      <c r="J1018" s="80"/>
      <c r="K1018" s="80"/>
      <c r="L1018" s="80"/>
      <c r="M1018" s="80"/>
      <c r="N1018" s="80"/>
      <c r="O1018" s="80"/>
      <c r="P1018" s="80"/>
      <c r="Q1018" s="80"/>
      <c r="R1018" s="80"/>
      <c r="S1018" s="80"/>
      <c r="T1018" s="80"/>
      <c r="U1018" s="80"/>
      <c r="V1018" s="2"/>
      <c r="W1018" s="2"/>
      <c r="X1018" s="2"/>
      <c r="Y1018" s="80"/>
      <c r="Z1018" s="80"/>
      <c r="AA1018" s="80"/>
      <c r="AB1018" s="80"/>
      <c r="AC1018" s="80"/>
      <c r="AD1018" s="80"/>
      <c r="AE1018" s="80"/>
      <c r="AF1018" s="80"/>
      <c r="AG1018" s="80"/>
      <c r="AH1018" s="80"/>
      <c r="AI1018" s="80"/>
      <c r="AJ1018" s="80"/>
      <c r="AK1018" s="80"/>
      <c r="AL1018" s="80"/>
      <c r="AM1018" s="80"/>
      <c r="AN1018" s="80"/>
      <c r="AO1018" s="80"/>
    </row>
    <row r="1019" ht="14.25" customHeight="1">
      <c r="A1019" s="80"/>
      <c r="B1019" s="80"/>
      <c r="C1019" s="80"/>
      <c r="D1019" s="80"/>
      <c r="E1019" s="80"/>
      <c r="F1019" s="80"/>
      <c r="G1019" s="80"/>
      <c r="H1019" s="80"/>
      <c r="I1019" s="80"/>
      <c r="J1019" s="80"/>
      <c r="K1019" s="80"/>
      <c r="L1019" s="80"/>
      <c r="M1019" s="80"/>
      <c r="N1019" s="80"/>
      <c r="O1019" s="80"/>
      <c r="P1019" s="80"/>
      <c r="Q1019" s="80"/>
      <c r="R1019" s="80"/>
      <c r="S1019" s="80"/>
      <c r="T1019" s="80"/>
      <c r="U1019" s="80"/>
      <c r="V1019" s="2"/>
      <c r="W1019" s="2"/>
      <c r="X1019" s="2"/>
      <c r="Y1019" s="80"/>
      <c r="Z1019" s="80"/>
      <c r="AA1019" s="80"/>
      <c r="AB1019" s="80"/>
      <c r="AC1019" s="80"/>
      <c r="AD1019" s="80"/>
      <c r="AE1019" s="80"/>
      <c r="AF1019" s="80"/>
      <c r="AG1019" s="80"/>
      <c r="AH1019" s="80"/>
      <c r="AI1019" s="80"/>
      <c r="AJ1019" s="80"/>
      <c r="AK1019" s="80"/>
      <c r="AL1019" s="80"/>
      <c r="AM1019" s="80"/>
      <c r="AN1019" s="80"/>
      <c r="AO1019" s="80"/>
    </row>
  </sheetData>
  <mergeCells count="70">
    <mergeCell ref="D100:D101"/>
    <mergeCell ref="E100:F101"/>
    <mergeCell ref="B60:D60"/>
    <mergeCell ref="B67:B68"/>
    <mergeCell ref="B82:E82"/>
    <mergeCell ref="B96:D96"/>
    <mergeCell ref="B99:C99"/>
    <mergeCell ref="E99:F99"/>
    <mergeCell ref="B100:C101"/>
    <mergeCell ref="D113:F114"/>
    <mergeCell ref="B116:F117"/>
    <mergeCell ref="B118:F119"/>
    <mergeCell ref="B120:F121"/>
    <mergeCell ref="B122:F123"/>
    <mergeCell ref="B124:B125"/>
    <mergeCell ref="D124:F125"/>
    <mergeCell ref="B102:F102"/>
    <mergeCell ref="B103:F104"/>
    <mergeCell ref="B105:F106"/>
    <mergeCell ref="B107:F108"/>
    <mergeCell ref="B109:F110"/>
    <mergeCell ref="B111:F112"/>
    <mergeCell ref="B113:B114"/>
    <mergeCell ref="B2:K4"/>
    <mergeCell ref="L2:L4"/>
    <mergeCell ref="C5:D6"/>
    <mergeCell ref="B6:B7"/>
    <mergeCell ref="C7:D7"/>
    <mergeCell ref="H7:O7"/>
    <mergeCell ref="P8:Q8"/>
    <mergeCell ref="V20:W21"/>
    <mergeCell ref="X20:Y21"/>
    <mergeCell ref="V22:W23"/>
    <mergeCell ref="X22:Y23"/>
    <mergeCell ref="V24:Y29"/>
    <mergeCell ref="H15:N15"/>
    <mergeCell ref="O15:U15"/>
    <mergeCell ref="V15:Y15"/>
    <mergeCell ref="V16:W17"/>
    <mergeCell ref="X16:Y17"/>
    <mergeCell ref="V18:W19"/>
    <mergeCell ref="X18:Y19"/>
    <mergeCell ref="B8:D8"/>
    <mergeCell ref="B9:C9"/>
    <mergeCell ref="B10:C10"/>
    <mergeCell ref="B11:C11"/>
    <mergeCell ref="A13:D13"/>
    <mergeCell ref="C15:D15"/>
    <mergeCell ref="B16:D16"/>
    <mergeCell ref="B12:C12"/>
    <mergeCell ref="B31:C31"/>
    <mergeCell ref="B32:D32"/>
    <mergeCell ref="B33:D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E48:G49"/>
    <mergeCell ref="B49:C49"/>
    <mergeCell ref="B50:C50"/>
    <mergeCell ref="B51:C51"/>
    <mergeCell ref="B53:D53"/>
  </mergeCells>
  <conditionalFormatting sqref="O17:U376">
    <cfRule type="expression" dxfId="0" priority="1">
      <formula>$O17=$C$75</formula>
    </cfRule>
  </conditionalFormatting>
  <conditionalFormatting sqref="O17:U376">
    <cfRule type="expression" dxfId="1" priority="2">
      <formula>$O17</formula>
    </cfRule>
  </conditionalFormatting>
  <conditionalFormatting sqref="H17:N376">
    <cfRule type="expression" dxfId="0" priority="3">
      <formula>$H17=$C$75</formula>
    </cfRule>
  </conditionalFormatting>
  <conditionalFormatting sqref="H17:N376">
    <cfRule type="expression" dxfId="1" priority="4">
      <formula>ISNUMBER($H17)</formula>
    </cfRule>
  </conditionalFormatting>
  <conditionalFormatting sqref="K10">
    <cfRule type="colorScale" priority="5">
      <colorScale>
        <cfvo type="min"/>
        <cfvo type="max"/>
        <color rgb="FF57BB8A"/>
        <color rgb="FFFFFFFF"/>
      </colorScale>
    </cfRule>
  </conditionalFormatting>
  <conditionalFormatting sqref="C18">
    <cfRule type="notContainsBlanks" dxfId="2" priority="6">
      <formula>LEN(TRIM(C18))&gt;0</formula>
    </cfRule>
  </conditionalFormatting>
  <conditionalFormatting sqref="O13">
    <cfRule type="cellIs" dxfId="3" priority="7" operator="lessThan">
      <formula>0</formula>
    </cfRule>
  </conditionalFormatting>
  <conditionalFormatting sqref="O13">
    <cfRule type="cellIs" dxfId="4" priority="8" operator="greaterThan">
      <formula>0</formula>
    </cfRule>
  </conditionalFormatting>
  <conditionalFormatting sqref="M13">
    <cfRule type="cellIs" dxfId="5" priority="9" operator="greaterThan">
      <formula>0</formula>
    </cfRule>
  </conditionalFormatting>
  <conditionalFormatting sqref="N13">
    <cfRule type="cellIs" dxfId="4" priority="10" operator="greaterThan">
      <formula>0</formula>
    </cfRule>
  </conditionalFormatting>
  <dataValidations>
    <dataValidation type="list" allowBlank="1" showInputMessage="1" showErrorMessage="1" prompt="מס רכישה לדירה נוספת הינו 5%. אם זוהי דירה יחידה בחר 0%." sqref="C18">
      <formula1>"0,0.08"</formula1>
    </dataValidation>
    <dataValidation type="list" allowBlank="1" showErrorMessage="1" sqref="C19">
      <formula1>"2.36%,0"</formula1>
    </dataValidation>
  </dataValidations>
  <printOptions/>
  <pageMargins bottom="0.75" footer="0.0" header="0.0" left="0.7" right="0.7" top="0.75"/>
  <pageSetup paperSize="8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2020-07-02T11:12:46Z</dcterms:created>
  <dc:creator>תומר פרץ</dc:creator>
</cp:coreProperties>
</file>